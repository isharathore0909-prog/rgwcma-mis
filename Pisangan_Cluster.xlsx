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4FC5A47-A32D-4F39-8A41-12B98B5E558B}" xr6:coauthVersionLast="36" xr6:coauthVersionMax="36" xr10:uidLastSave="{00000000-0000-0000-0000-000000000000}"/>
  <bookViews>
    <workbookView xWindow="32760" yWindow="32760" windowWidth="15195" windowHeight="7890" tabRatio="867"/>
  </bookViews>
  <sheets>
    <sheet name="ASS June2017" sheetId="17" r:id="rId1"/>
    <sheet name="irr. pot." sheetId="3" r:id="rId2"/>
    <sheet name="Rech-Tank-II" sheetId="5" r:id="rId3"/>
    <sheet name="Seep-Tank-III" sheetId="6" r:id="rId4"/>
    <sheet name="Dom Draft IV" sheetId="20" r:id="rId5"/>
    <sheet name="Draft Irri-V" sheetId="21" r:id="rId6"/>
    <sheet name="Draft Irr.Area" sheetId="9" r:id="rId7"/>
    <sheet name="Draft Depl" sheetId="10" r:id="rId8"/>
    <sheet name="Sheet1" sheetId="31" r:id="rId9"/>
    <sheet name="Compar" sheetId="11" r:id="rId10"/>
    <sheet name="Reccomendation" sheetId="23" r:id="rId11"/>
    <sheet name="WaterLevel trend" sheetId="14" r:id="rId12"/>
    <sheet name="WaterLevel 12-16" sheetId="27" r:id="rId13"/>
    <sheet name="MonthlyRF n" sheetId="28" r:id="rId14"/>
    <sheet name="NormalRF" sheetId="19" r:id="rId15"/>
    <sheet name="Longterm" sheetId="25" r:id="rId16"/>
    <sheet name="Trend " sheetId="22" r:id="rId17"/>
    <sheet name="Projected25" sheetId="24" r:id="rId18"/>
    <sheet name="Projected Cal. " sheetId="29" r:id="rId19"/>
    <sheet name="Village" sheetId="16" r:id="rId20"/>
    <sheet name="Crop Water" sheetId="26" r:id="rId21"/>
    <sheet name="APP 2015-16" sheetId="12" r:id="rId22"/>
    <sheet name="Reported Yield " sheetId="30" r:id="rId23"/>
  </sheets>
  <externalReferences>
    <externalReference r:id="rId24"/>
    <externalReference r:id="rId25"/>
  </externalReferences>
  <definedNames>
    <definedName name="_xlnm._FilterDatabase" localSheetId="21" hidden="1">'APP 2015-16'!$A$2:$AU$44</definedName>
    <definedName name="_xlnm._FilterDatabase" localSheetId="4" hidden="1">'Dom Draft IV'!$A$3:$L$137</definedName>
    <definedName name="_xlnm._FilterDatabase" localSheetId="5" hidden="1">'Draft Irri-V'!$A$3:$L$91</definedName>
    <definedName name="_xlnm._FilterDatabase" localSheetId="12" hidden="1">'WaterLevel 12-16'!$A$3:$W$88</definedName>
    <definedName name="_xlnm._FilterDatabase" localSheetId="11" hidden="1">'WaterLevel trend'!#REF!</definedName>
    <definedName name="_xlnm.Print_Area" localSheetId="21">'APP 2015-16'!$A$1:$AU$49</definedName>
    <definedName name="_xlnm.Print_Area" localSheetId="0">'ASS June2017'!$A$1:$CC$27</definedName>
    <definedName name="_xlnm.Print_Area" localSheetId="19">Village!$A$1:$G$47</definedName>
    <definedName name="_xlnm.Print_Area" localSheetId="12">'WaterLevel 12-16'!$A$1:$W$88</definedName>
    <definedName name="_xlnm.Print_Area" localSheetId="11">'WaterLevel trend'!#REF!</definedName>
    <definedName name="_xlnm.Print_Titles" localSheetId="21">'APP 2015-16'!$1:$3</definedName>
    <definedName name="_xlnm.Print_Titles" localSheetId="0">'ASS June2017'!$4:$6</definedName>
    <definedName name="_xlnm.Print_Titles" localSheetId="4">'Dom Draft IV'!$2:$3</definedName>
    <definedName name="_xlnm.Print_Titles" localSheetId="5">'Draft Irri-V'!$2:$3</definedName>
    <definedName name="_xlnm.Print_Titles" localSheetId="22">'Reported Yield '!$1:$2</definedName>
    <definedName name="_xlnm.Print_Titles" localSheetId="12">'WaterLevel 12-16'!$2:$3</definedName>
    <definedName name="_xlnm.Print_Titles" localSheetId="11">'WaterLevel trend'!#REF!</definedName>
  </definedNames>
  <calcPr calcId="191029" fullCalcOnLoad="1"/>
</workbook>
</file>

<file path=xl/calcChain.xml><?xml version="1.0" encoding="utf-8"?>
<calcChain xmlns="http://schemas.openxmlformats.org/spreadsheetml/2006/main">
  <c r="AD8" i="17" l="1"/>
  <c r="AF8" i="17"/>
  <c r="AU8" i="17"/>
  <c r="H6" i="19"/>
  <c r="H4" i="26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3" i="30"/>
  <c r="F137" i="30"/>
  <c r="F136" i="30"/>
  <c r="F135" i="30"/>
  <c r="F131" i="30"/>
  <c r="F129" i="30"/>
  <c r="F127" i="30"/>
  <c r="F124" i="30"/>
  <c r="F122" i="30"/>
  <c r="F121" i="30"/>
  <c r="F119" i="30"/>
  <c r="F117" i="30"/>
  <c r="F115" i="30"/>
  <c r="F113" i="30"/>
  <c r="F112" i="30"/>
  <c r="F111" i="30"/>
  <c r="F110" i="30"/>
  <c r="F109" i="30"/>
  <c r="F108" i="30"/>
  <c r="F106" i="30"/>
  <c r="F101" i="30"/>
  <c r="F100" i="30"/>
  <c r="F98" i="30"/>
  <c r="F97" i="30"/>
  <c r="F96" i="30"/>
  <c r="F95" i="30"/>
  <c r="F94" i="30"/>
  <c r="F93" i="30"/>
  <c r="F92" i="30"/>
  <c r="F89" i="30"/>
  <c r="F86" i="30"/>
  <c r="F85" i="30"/>
  <c r="F84" i="30"/>
  <c r="F83" i="30"/>
  <c r="F80" i="30"/>
  <c r="F77" i="30"/>
  <c r="F74" i="30"/>
  <c r="F72" i="30"/>
  <c r="F71" i="30"/>
  <c r="F63" i="30"/>
  <c r="F62" i="30"/>
  <c r="F59" i="30"/>
  <c r="F52" i="30"/>
  <c r="F51" i="30"/>
  <c r="F50" i="30"/>
  <c r="F48" i="30"/>
  <c r="F47" i="30"/>
  <c r="F46" i="30"/>
  <c r="F45" i="30"/>
  <c r="F43" i="30"/>
  <c r="F40" i="30"/>
  <c r="F38" i="30"/>
  <c r="F37" i="30"/>
  <c r="F36" i="30"/>
  <c r="F34" i="30"/>
  <c r="F32" i="30"/>
  <c r="F31" i="30"/>
  <c r="F30" i="30"/>
  <c r="F29" i="30"/>
  <c r="F28" i="30"/>
  <c r="F27" i="30"/>
  <c r="F23" i="30"/>
  <c r="F22" i="30"/>
  <c r="F21" i="30"/>
  <c r="F20" i="30"/>
  <c r="F19" i="30"/>
  <c r="F18" i="30"/>
  <c r="F17" i="30"/>
  <c r="F16" i="30"/>
  <c r="F15" i="30"/>
  <c r="F14" i="30"/>
  <c r="F13" i="30"/>
  <c r="F11" i="30"/>
  <c r="F9" i="30"/>
  <c r="F8" i="30"/>
  <c r="F6" i="30"/>
  <c r="F5" i="30"/>
  <c r="F4" i="30"/>
  <c r="F3" i="30"/>
  <c r="Z4" i="27"/>
  <c r="F49" i="10"/>
  <c r="W87" i="27"/>
  <c r="W86" i="27"/>
  <c r="W85" i="27"/>
  <c r="W84" i="27"/>
  <c r="W83" i="27"/>
  <c r="W82" i="27"/>
  <c r="W81" i="27"/>
  <c r="W80" i="27"/>
  <c r="W79" i="27"/>
  <c r="W78" i="27"/>
  <c r="W77" i="27"/>
  <c r="W76" i="27"/>
  <c r="W75" i="27"/>
  <c r="W74" i="27"/>
  <c r="W73" i="27"/>
  <c r="W72" i="27"/>
  <c r="W71" i="27"/>
  <c r="W70" i="27"/>
  <c r="W69" i="27"/>
  <c r="W68" i="27"/>
  <c r="W67" i="27"/>
  <c r="W66" i="27"/>
  <c r="W65" i="27"/>
  <c r="W64" i="27"/>
  <c r="W63" i="27"/>
  <c r="W62" i="27"/>
  <c r="W61" i="27"/>
  <c r="W60" i="27"/>
  <c r="W59" i="27"/>
  <c r="W58" i="27"/>
  <c r="W57" i="27"/>
  <c r="W56" i="27"/>
  <c r="W55" i="27"/>
  <c r="W54" i="27"/>
  <c r="W53" i="27"/>
  <c r="W52" i="27"/>
  <c r="W51" i="27"/>
  <c r="W50" i="27"/>
  <c r="W49" i="27"/>
  <c r="W48" i="27"/>
  <c r="W47" i="27"/>
  <c r="W46" i="27"/>
  <c r="W45" i="27"/>
  <c r="W44" i="27"/>
  <c r="W43" i="27"/>
  <c r="W42" i="27"/>
  <c r="W41" i="27"/>
  <c r="W40" i="27"/>
  <c r="W39" i="27"/>
  <c r="W38" i="27"/>
  <c r="W37" i="27"/>
  <c r="W36" i="27"/>
  <c r="W35" i="27"/>
  <c r="W34" i="27"/>
  <c r="W33" i="27"/>
  <c r="W32" i="27"/>
  <c r="W31" i="27"/>
  <c r="W29" i="27"/>
  <c r="W28" i="27"/>
  <c r="W27" i="27"/>
  <c r="W26" i="27"/>
  <c r="W25" i="27"/>
  <c r="W24" i="27"/>
  <c r="W22" i="27"/>
  <c r="W21" i="27"/>
  <c r="W20" i="27"/>
  <c r="W19" i="27"/>
  <c r="W18" i="27"/>
  <c r="W17" i="27"/>
  <c r="W14" i="27"/>
  <c r="W13" i="27"/>
  <c r="W11" i="27"/>
  <c r="W10" i="27"/>
  <c r="W8" i="27"/>
  <c r="W5" i="27"/>
  <c r="G88" i="27"/>
  <c r="I88" i="27"/>
  <c r="C8" i="17"/>
  <c r="J8" i="17"/>
  <c r="G4" i="16"/>
  <c r="G45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3" i="16"/>
  <c r="E6" i="29"/>
  <c r="D6" i="29"/>
  <c r="E7" i="29"/>
  <c r="D7" i="29"/>
  <c r="E8" i="29"/>
  <c r="D8" i="29"/>
  <c r="E9" i="29"/>
  <c r="D9" i="29"/>
  <c r="E10" i="29"/>
  <c r="D10" i="29"/>
  <c r="E11" i="29"/>
  <c r="D11" i="29"/>
  <c r="E12" i="29"/>
  <c r="D12" i="29"/>
  <c r="E13" i="29"/>
  <c r="D13" i="29"/>
  <c r="E14" i="29"/>
  <c r="F136" i="20"/>
  <c r="AA12" i="14"/>
  <c r="E13" i="25"/>
  <c r="D16" i="22"/>
  <c r="G16" i="22"/>
  <c r="Z12" i="14"/>
  <c r="E12" i="25"/>
  <c r="D15" i="22"/>
  <c r="G15" i="22"/>
  <c r="Y12" i="14"/>
  <c r="E11" i="25"/>
  <c r="D14" i="22"/>
  <c r="G14" i="22"/>
  <c r="X12" i="14"/>
  <c r="E10" i="25"/>
  <c r="D13" i="22"/>
  <c r="G13" i="22"/>
  <c r="W12" i="14"/>
  <c r="E9" i="25"/>
  <c r="D12" i="22"/>
  <c r="G12" i="22"/>
  <c r="V12" i="14"/>
  <c r="E8" i="25"/>
  <c r="D11" i="22"/>
  <c r="G11" i="22"/>
  <c r="U12" i="14"/>
  <c r="E7" i="25"/>
  <c r="D10" i="22"/>
  <c r="G10" i="22"/>
  <c r="T12" i="14"/>
  <c r="E6" i="25"/>
  <c r="D9" i="22"/>
  <c r="G9" i="22"/>
  <c r="S12" i="14"/>
  <c r="E5" i="25"/>
  <c r="D8" i="22"/>
  <c r="G8" i="22"/>
  <c r="R12" i="14"/>
  <c r="E4" i="25"/>
  <c r="D7" i="22"/>
  <c r="AL8" i="17"/>
  <c r="G6" i="6"/>
  <c r="I6" i="6"/>
  <c r="G7" i="6"/>
  <c r="G8" i="6"/>
  <c r="G9" i="6"/>
  <c r="I9" i="6"/>
  <c r="G10" i="6"/>
  <c r="I10" i="6"/>
  <c r="G11" i="6"/>
  <c r="I11" i="6"/>
  <c r="G12" i="6"/>
  <c r="G13" i="6"/>
  <c r="I13" i="6"/>
  <c r="G14" i="6"/>
  <c r="I14" i="6"/>
  <c r="G15" i="6"/>
  <c r="I15" i="6"/>
  <c r="G16" i="6"/>
  <c r="G17" i="6"/>
  <c r="I17" i="6"/>
  <c r="G18" i="6"/>
  <c r="I18" i="6"/>
  <c r="G19" i="6"/>
  <c r="I19" i="6"/>
  <c r="G20" i="6"/>
  <c r="G21" i="6"/>
  <c r="I21" i="6"/>
  <c r="G22" i="6"/>
  <c r="I22" i="6"/>
  <c r="G23" i="6"/>
  <c r="G24" i="6"/>
  <c r="I24" i="6"/>
  <c r="G25" i="6"/>
  <c r="G26" i="6"/>
  <c r="I26" i="6"/>
  <c r="G27" i="6"/>
  <c r="G28" i="6"/>
  <c r="G29" i="6"/>
  <c r="G30" i="6"/>
  <c r="G31" i="6"/>
  <c r="I31" i="6"/>
  <c r="G32" i="6"/>
  <c r="I32" i="6"/>
  <c r="G33" i="6"/>
  <c r="G34" i="6"/>
  <c r="G35" i="6"/>
  <c r="I35" i="6"/>
  <c r="G36" i="6"/>
  <c r="I36" i="6"/>
  <c r="G37" i="6"/>
  <c r="I37" i="6"/>
  <c r="G38" i="6"/>
  <c r="I38" i="6"/>
  <c r="G39" i="6"/>
  <c r="G40" i="6"/>
  <c r="G41" i="6"/>
  <c r="I41" i="6"/>
  <c r="G42" i="6"/>
  <c r="G43" i="6"/>
  <c r="I43" i="6"/>
  <c r="G44" i="6"/>
  <c r="G45" i="6"/>
  <c r="I45" i="6"/>
  <c r="G46" i="6"/>
  <c r="G47" i="6"/>
  <c r="G48" i="6"/>
  <c r="G49" i="6"/>
  <c r="G5" i="6"/>
  <c r="H6" i="6"/>
  <c r="H7" i="6"/>
  <c r="H8" i="6"/>
  <c r="I8" i="6"/>
  <c r="H9" i="6"/>
  <c r="H10" i="6"/>
  <c r="H11" i="6"/>
  <c r="H12" i="6"/>
  <c r="H13" i="6"/>
  <c r="H14" i="6"/>
  <c r="H15" i="6"/>
  <c r="H16" i="6"/>
  <c r="I16" i="6"/>
  <c r="H17" i="6"/>
  <c r="H18" i="6"/>
  <c r="H19" i="6"/>
  <c r="H20" i="6"/>
  <c r="I20" i="6"/>
  <c r="H21" i="6"/>
  <c r="H22" i="6"/>
  <c r="H23" i="6"/>
  <c r="H24" i="6"/>
  <c r="H25" i="6"/>
  <c r="I25" i="6"/>
  <c r="H26" i="6"/>
  <c r="H27" i="6"/>
  <c r="I27" i="6"/>
  <c r="H28" i="6"/>
  <c r="H29" i="6"/>
  <c r="I29" i="6"/>
  <c r="H30" i="6"/>
  <c r="H31" i="6"/>
  <c r="H32" i="6"/>
  <c r="H33" i="6"/>
  <c r="I33" i="6"/>
  <c r="H34" i="6"/>
  <c r="I34" i="6"/>
  <c r="H35" i="6"/>
  <c r="H36" i="6"/>
  <c r="H37" i="6"/>
  <c r="H38" i="6"/>
  <c r="H39" i="6"/>
  <c r="I39" i="6"/>
  <c r="H40" i="6"/>
  <c r="I40" i="6"/>
  <c r="H41" i="6"/>
  <c r="H42" i="6"/>
  <c r="I42" i="6"/>
  <c r="H43" i="6"/>
  <c r="H44" i="6"/>
  <c r="H45" i="6"/>
  <c r="H46" i="6"/>
  <c r="I46" i="6"/>
  <c r="H47" i="6"/>
  <c r="I47" i="6"/>
  <c r="H48" i="6"/>
  <c r="I48" i="6"/>
  <c r="H49" i="6"/>
  <c r="I49" i="6"/>
  <c r="H5" i="6"/>
  <c r="I5" i="6"/>
  <c r="E50" i="6"/>
  <c r="G50" i="6"/>
  <c r="F10" i="17"/>
  <c r="M12" i="17"/>
  <c r="AM8" i="17"/>
  <c r="AN8" i="17"/>
  <c r="M11" i="17"/>
  <c r="M10" i="17"/>
  <c r="M9" i="17"/>
  <c r="M8" i="17"/>
  <c r="O27" i="28"/>
  <c r="F27" i="28"/>
  <c r="F28" i="28"/>
  <c r="O26" i="28"/>
  <c r="P26" i="28"/>
  <c r="B12" i="25"/>
  <c r="F26" i="28"/>
  <c r="C12" i="25"/>
  <c r="O25" i="28"/>
  <c r="P25" i="28"/>
  <c r="B11" i="25"/>
  <c r="F25" i="28"/>
  <c r="O24" i="28"/>
  <c r="F24" i="28"/>
  <c r="P24" i="28"/>
  <c r="O23" i="28"/>
  <c r="F23" i="28"/>
  <c r="P23" i="28"/>
  <c r="B9" i="25"/>
  <c r="O22" i="28"/>
  <c r="F22" i="28"/>
  <c r="C8" i="25"/>
  <c r="O21" i="28"/>
  <c r="F21" i="28"/>
  <c r="C7" i="25"/>
  <c r="O20" i="28"/>
  <c r="O28" i="28"/>
  <c r="F20" i="28"/>
  <c r="O19" i="28"/>
  <c r="F19" i="28"/>
  <c r="C5" i="25"/>
  <c r="O18" i="28"/>
  <c r="F18" i="28"/>
  <c r="C4" i="25"/>
  <c r="O17" i="28"/>
  <c r="F17" i="28"/>
  <c r="P17" i="28"/>
  <c r="O16" i="28"/>
  <c r="F16" i="28"/>
  <c r="P16" i="28"/>
  <c r="O15" i="28"/>
  <c r="F15" i="28"/>
  <c r="P15" i="28"/>
  <c r="O14" i="28"/>
  <c r="F14" i="28"/>
  <c r="P14" i="28"/>
  <c r="O13" i="28"/>
  <c r="F13" i="28"/>
  <c r="P13" i="28"/>
  <c r="O12" i="28"/>
  <c r="F12" i="28"/>
  <c r="O11" i="28"/>
  <c r="F11" i="28"/>
  <c r="P11" i="28"/>
  <c r="O10" i="28"/>
  <c r="F10" i="28"/>
  <c r="P10" i="28"/>
  <c r="O9" i="28"/>
  <c r="F9" i="28"/>
  <c r="O8" i="28"/>
  <c r="F8" i="28"/>
  <c r="P8" i="28"/>
  <c r="O7" i="28"/>
  <c r="F7" i="28"/>
  <c r="F18" i="26"/>
  <c r="F17" i="26"/>
  <c r="F16" i="26"/>
  <c r="F15" i="26"/>
  <c r="F14" i="26"/>
  <c r="F13" i="26"/>
  <c r="F19" i="26"/>
  <c r="F5" i="26"/>
  <c r="F6" i="26"/>
  <c r="F7" i="26"/>
  <c r="F8" i="26"/>
  <c r="F9" i="26"/>
  <c r="F11" i="26"/>
  <c r="K8" i="11"/>
  <c r="F4" i="26"/>
  <c r="D2" i="27"/>
  <c r="I4" i="27"/>
  <c r="L4" i="27"/>
  <c r="O4" i="27"/>
  <c r="R4" i="27"/>
  <c r="U4" i="27"/>
  <c r="I5" i="27"/>
  <c r="L5" i="27"/>
  <c r="O5" i="27"/>
  <c r="R5" i="27"/>
  <c r="U5" i="27"/>
  <c r="L6" i="27"/>
  <c r="O6" i="27"/>
  <c r="R6" i="27"/>
  <c r="I7" i="27"/>
  <c r="L7" i="27"/>
  <c r="O7" i="27"/>
  <c r="R7" i="27"/>
  <c r="I8" i="27"/>
  <c r="L8" i="27"/>
  <c r="O8" i="27"/>
  <c r="R8" i="27"/>
  <c r="U8" i="27"/>
  <c r="I9" i="27"/>
  <c r="L9" i="27"/>
  <c r="O9" i="27"/>
  <c r="R9" i="27"/>
  <c r="U9" i="27"/>
  <c r="I10" i="27"/>
  <c r="L10" i="27"/>
  <c r="O10" i="27"/>
  <c r="R10" i="27"/>
  <c r="U10" i="27"/>
  <c r="I11" i="27"/>
  <c r="L11" i="27"/>
  <c r="O11" i="27"/>
  <c r="R11" i="27"/>
  <c r="U11" i="27"/>
  <c r="I12" i="27"/>
  <c r="L12" i="27"/>
  <c r="O12" i="27"/>
  <c r="R12" i="27"/>
  <c r="U12" i="27"/>
  <c r="I13" i="27"/>
  <c r="L13" i="27"/>
  <c r="O13" i="27"/>
  <c r="R13" i="27"/>
  <c r="U13" i="27"/>
  <c r="I14" i="27"/>
  <c r="L14" i="27"/>
  <c r="O14" i="27"/>
  <c r="R14" i="27"/>
  <c r="U14" i="27"/>
  <c r="I15" i="27"/>
  <c r="L15" i="27"/>
  <c r="O15" i="27"/>
  <c r="R15" i="27"/>
  <c r="U15" i="27"/>
  <c r="L16" i="27"/>
  <c r="O16" i="27"/>
  <c r="R16" i="27"/>
  <c r="U16" i="27"/>
  <c r="I17" i="27"/>
  <c r="L17" i="27"/>
  <c r="O17" i="27"/>
  <c r="R17" i="27"/>
  <c r="U17" i="27"/>
  <c r="R18" i="27"/>
  <c r="U18" i="27"/>
  <c r="R19" i="27"/>
  <c r="U19" i="27"/>
  <c r="R20" i="27"/>
  <c r="U20" i="27"/>
  <c r="R21" i="27"/>
  <c r="U21" i="27"/>
  <c r="R22" i="27"/>
  <c r="U22" i="27"/>
  <c r="R23" i="27"/>
  <c r="U23" i="27"/>
  <c r="R24" i="27"/>
  <c r="U24" i="27"/>
  <c r="R25" i="27"/>
  <c r="U25" i="27"/>
  <c r="R26" i="27"/>
  <c r="U26" i="27"/>
  <c r="R27" i="27"/>
  <c r="U27" i="27"/>
  <c r="R28" i="27"/>
  <c r="U28" i="27"/>
  <c r="R29" i="27"/>
  <c r="U29" i="27"/>
  <c r="R30" i="27"/>
  <c r="U30" i="27"/>
  <c r="R31" i="27"/>
  <c r="U31" i="27"/>
  <c r="R32" i="27"/>
  <c r="U32" i="27"/>
  <c r="R33" i="27"/>
  <c r="U33" i="27"/>
  <c r="R34" i="27"/>
  <c r="U34" i="27"/>
  <c r="R35" i="27"/>
  <c r="U35" i="27"/>
  <c r="R36" i="27"/>
  <c r="U36" i="27"/>
  <c r="U37" i="27"/>
  <c r="U38" i="27"/>
  <c r="U39" i="27"/>
  <c r="U40" i="27"/>
  <c r="U41" i="27"/>
  <c r="U42" i="27"/>
  <c r="U43" i="27"/>
  <c r="U44" i="27"/>
  <c r="U45" i="27"/>
  <c r="U46" i="27"/>
  <c r="U47" i="27"/>
  <c r="U48" i="27"/>
  <c r="U49" i="27"/>
  <c r="U50" i="27"/>
  <c r="U51" i="27"/>
  <c r="U52" i="27"/>
  <c r="U53" i="27"/>
  <c r="U54" i="27"/>
  <c r="U55" i="27"/>
  <c r="U56" i="27"/>
  <c r="U57" i="27"/>
  <c r="U58" i="27"/>
  <c r="U59" i="27"/>
  <c r="U60" i="27"/>
  <c r="U61" i="27"/>
  <c r="U62" i="27"/>
  <c r="U63" i="27"/>
  <c r="U64" i="27"/>
  <c r="U65" i="27"/>
  <c r="U66" i="27"/>
  <c r="U67" i="27"/>
  <c r="U68" i="27"/>
  <c r="U69" i="27"/>
  <c r="U70" i="27"/>
  <c r="U71" i="27"/>
  <c r="U72" i="27"/>
  <c r="L73" i="27"/>
  <c r="O73" i="27"/>
  <c r="R73" i="27"/>
  <c r="U73" i="27"/>
  <c r="U74" i="27"/>
  <c r="U75" i="27"/>
  <c r="U76" i="27"/>
  <c r="U77" i="27"/>
  <c r="U78" i="27"/>
  <c r="U79" i="27"/>
  <c r="U80" i="27"/>
  <c r="U81" i="27"/>
  <c r="U82" i="27"/>
  <c r="U83" i="27"/>
  <c r="U84" i="27"/>
  <c r="I85" i="27"/>
  <c r="L85" i="27"/>
  <c r="O85" i="27"/>
  <c r="R85" i="27"/>
  <c r="U85" i="27"/>
  <c r="U86" i="27"/>
  <c r="L87" i="27"/>
  <c r="O87" i="27"/>
  <c r="R87" i="27"/>
  <c r="U87" i="27"/>
  <c r="H88" i="27"/>
  <c r="J88" i="27"/>
  <c r="L88" i="27"/>
  <c r="C9" i="17"/>
  <c r="J9" i="17"/>
  <c r="P9" i="17"/>
  <c r="K88" i="27"/>
  <c r="M88" i="27"/>
  <c r="N88" i="27"/>
  <c r="P88" i="27"/>
  <c r="R88" i="27"/>
  <c r="C11" i="17"/>
  <c r="J11" i="17"/>
  <c r="P11" i="17"/>
  <c r="Q88" i="27"/>
  <c r="S88" i="27"/>
  <c r="U88" i="27"/>
  <c r="C12" i="17"/>
  <c r="T88" i="27"/>
  <c r="V88" i="27"/>
  <c r="P12" i="14"/>
  <c r="D13" i="25"/>
  <c r="C16" i="22"/>
  <c r="F16" i="22"/>
  <c r="O12" i="14"/>
  <c r="D12" i="25"/>
  <c r="C15" i="22"/>
  <c r="F15" i="22"/>
  <c r="N12" i="14"/>
  <c r="D11" i="25"/>
  <c r="C14" i="22"/>
  <c r="F14" i="22"/>
  <c r="M12" i="14"/>
  <c r="D10" i="25"/>
  <c r="C13" i="22"/>
  <c r="F13" i="22"/>
  <c r="L12" i="14"/>
  <c r="D9" i="25"/>
  <c r="C12" i="22"/>
  <c r="F12" i="22"/>
  <c r="K12" i="14"/>
  <c r="D8" i="25"/>
  <c r="C11" i="22"/>
  <c r="F11" i="22"/>
  <c r="J12" i="14"/>
  <c r="D7" i="25"/>
  <c r="C10" i="22"/>
  <c r="F10" i="22"/>
  <c r="I12" i="14"/>
  <c r="D6" i="25"/>
  <c r="C9" i="22"/>
  <c r="F9" i="22"/>
  <c r="H12" i="14"/>
  <c r="D5" i="25"/>
  <c r="C8" i="22"/>
  <c r="F8" i="22"/>
  <c r="G12" i="14"/>
  <c r="D4" i="25"/>
  <c r="C7" i="22"/>
  <c r="F7" i="22"/>
  <c r="D2" i="14"/>
  <c r="F24" i="26"/>
  <c r="L8" i="11"/>
  <c r="AJ8" i="17"/>
  <c r="AX8" i="17"/>
  <c r="BN8" i="17"/>
  <c r="BA8" i="17"/>
  <c r="BQ8" i="17"/>
  <c r="D10" i="24"/>
  <c r="G18" i="23"/>
  <c r="G19" i="23"/>
  <c r="H19" i="23"/>
  <c r="H17" i="23"/>
  <c r="H16" i="23"/>
  <c r="H15" i="23"/>
  <c r="H14" i="23"/>
  <c r="B17" i="22"/>
  <c r="E16" i="22"/>
  <c r="A16" i="22"/>
  <c r="E15" i="22"/>
  <c r="A15" i="22"/>
  <c r="E14" i="22"/>
  <c r="A14" i="22"/>
  <c r="E13" i="22"/>
  <c r="A13" i="22"/>
  <c r="E12" i="22"/>
  <c r="A12" i="22"/>
  <c r="E11" i="22"/>
  <c r="A11" i="22"/>
  <c r="E10" i="22"/>
  <c r="A10" i="22"/>
  <c r="E9" i="22"/>
  <c r="A9" i="22"/>
  <c r="E8" i="22"/>
  <c r="E17" i="22"/>
  <c r="A8" i="22"/>
  <c r="E7" i="22"/>
  <c r="A7" i="22"/>
  <c r="F9" i="17"/>
  <c r="F11" i="17"/>
  <c r="F8" i="17"/>
  <c r="E9" i="17"/>
  <c r="E10" i="17"/>
  <c r="E11" i="17"/>
  <c r="E8" i="17"/>
  <c r="I7" i="21"/>
  <c r="I8" i="21"/>
  <c r="J7" i="21"/>
  <c r="I9" i="21"/>
  <c r="I10" i="21"/>
  <c r="J10" i="21"/>
  <c r="I11" i="21"/>
  <c r="I12" i="21"/>
  <c r="I13" i="21"/>
  <c r="I14" i="21"/>
  <c r="I15" i="21"/>
  <c r="I16" i="21"/>
  <c r="I17" i="21"/>
  <c r="I18" i="21"/>
  <c r="I19" i="21"/>
  <c r="J19" i="21"/>
  <c r="I20" i="21"/>
  <c r="I21" i="21"/>
  <c r="I22" i="21"/>
  <c r="J22" i="21"/>
  <c r="I23" i="21"/>
  <c r="I24" i="21"/>
  <c r="I25" i="21"/>
  <c r="I26" i="21"/>
  <c r="I27" i="21"/>
  <c r="I28" i="21"/>
  <c r="I29" i="21"/>
  <c r="J28" i="21"/>
  <c r="I30" i="21"/>
  <c r="I31" i="21"/>
  <c r="J31" i="21"/>
  <c r="I32" i="21"/>
  <c r="I33" i="21"/>
  <c r="I34" i="21"/>
  <c r="J34" i="21"/>
  <c r="I35" i="21"/>
  <c r="I36" i="21"/>
  <c r="I37" i="21"/>
  <c r="I38" i="21"/>
  <c r="I39" i="21"/>
  <c r="J37" i="21"/>
  <c r="I40" i="21"/>
  <c r="J40" i="21"/>
  <c r="I41" i="21"/>
  <c r="I42" i="21"/>
  <c r="I43" i="21"/>
  <c r="I44" i="21"/>
  <c r="J43" i="21"/>
  <c r="I45" i="21"/>
  <c r="I46" i="21"/>
  <c r="I47" i="21"/>
  <c r="I48" i="21"/>
  <c r="J46" i="21"/>
  <c r="I49" i="21"/>
  <c r="J49" i="21"/>
  <c r="I50" i="21"/>
  <c r="I51" i="21"/>
  <c r="I52" i="21"/>
  <c r="J52" i="21"/>
  <c r="I53" i="21"/>
  <c r="I54" i="21"/>
  <c r="I55" i="21"/>
  <c r="I56" i="21"/>
  <c r="I57" i="21"/>
  <c r="J55" i="21"/>
  <c r="I58" i="21"/>
  <c r="J58" i="21"/>
  <c r="I59" i="21"/>
  <c r="I60" i="21"/>
  <c r="I61" i="21"/>
  <c r="I62" i="21"/>
  <c r="I63" i="21"/>
  <c r="J61" i="21"/>
  <c r="I64" i="21"/>
  <c r="I65" i="21"/>
  <c r="I66" i="21"/>
  <c r="J64" i="21"/>
  <c r="I67" i="21"/>
  <c r="I68" i="21"/>
  <c r="J67" i="21"/>
  <c r="I69" i="21"/>
  <c r="I70" i="21"/>
  <c r="I71" i="21"/>
  <c r="I72" i="21"/>
  <c r="I73" i="21"/>
  <c r="J73" i="21"/>
  <c r="I74" i="21"/>
  <c r="I75" i="21"/>
  <c r="I76" i="21"/>
  <c r="I77" i="21"/>
  <c r="J76" i="21"/>
  <c r="I78" i="21"/>
  <c r="I79" i="21"/>
  <c r="I80" i="21"/>
  <c r="J79" i="21"/>
  <c r="I81" i="21"/>
  <c r="I82" i="21"/>
  <c r="J82" i="21"/>
  <c r="I83" i="21"/>
  <c r="I84" i="21"/>
  <c r="I85" i="21"/>
  <c r="I86" i="21"/>
  <c r="I87" i="21"/>
  <c r="J85" i="21"/>
  <c r="I88" i="21"/>
  <c r="I89" i="21"/>
  <c r="J88" i="21"/>
  <c r="I90" i="21"/>
  <c r="I91" i="21"/>
  <c r="I92" i="21"/>
  <c r="J91" i="21"/>
  <c r="I93" i="21"/>
  <c r="I94" i="21"/>
  <c r="I95" i="21"/>
  <c r="I96" i="21"/>
  <c r="J94" i="21"/>
  <c r="I97" i="21"/>
  <c r="I98" i="21"/>
  <c r="I99" i="21"/>
  <c r="I100" i="21"/>
  <c r="J100" i="21"/>
  <c r="I101" i="21"/>
  <c r="I102" i="21"/>
  <c r="I103" i="21"/>
  <c r="J103" i="21"/>
  <c r="I104" i="21"/>
  <c r="I105" i="21"/>
  <c r="I106" i="21"/>
  <c r="J106" i="21"/>
  <c r="I107" i="21"/>
  <c r="I108" i="21"/>
  <c r="I109" i="21"/>
  <c r="J109" i="21"/>
  <c r="I110" i="21"/>
  <c r="I111" i="21"/>
  <c r="I112" i="21"/>
  <c r="I113" i="21"/>
  <c r="I114" i="21"/>
  <c r="I115" i="21"/>
  <c r="I116" i="21"/>
  <c r="J115" i="21"/>
  <c r="I117" i="21"/>
  <c r="I118" i="21"/>
  <c r="I119" i="21"/>
  <c r="I120" i="21"/>
  <c r="I121" i="21"/>
  <c r="I122" i="21"/>
  <c r="J121" i="21"/>
  <c r="I123" i="21"/>
  <c r="I124" i="21"/>
  <c r="I125" i="21"/>
  <c r="I126" i="21"/>
  <c r="I127" i="21"/>
  <c r="I128" i="21"/>
  <c r="J127" i="21"/>
  <c r="I129" i="21"/>
  <c r="I130" i="21"/>
  <c r="I131" i="21"/>
  <c r="I132" i="21"/>
  <c r="I133" i="21"/>
  <c r="J133" i="21"/>
  <c r="I134" i="21"/>
  <c r="I135" i="21"/>
  <c r="F136" i="21"/>
  <c r="I4" i="21"/>
  <c r="I5" i="21"/>
  <c r="I6" i="21"/>
  <c r="J4" i="21"/>
  <c r="I4" i="20"/>
  <c r="J4" i="20"/>
  <c r="I5" i="20"/>
  <c r="I6" i="20"/>
  <c r="I7" i="20"/>
  <c r="I8" i="20"/>
  <c r="I9" i="20"/>
  <c r="I10" i="20"/>
  <c r="J10" i="20"/>
  <c r="I11" i="20"/>
  <c r="I12" i="20"/>
  <c r="I13" i="20"/>
  <c r="J13" i="20"/>
  <c r="I14" i="20"/>
  <c r="I15" i="20"/>
  <c r="I16" i="20"/>
  <c r="J16" i="20"/>
  <c r="I17" i="20"/>
  <c r="I18" i="20"/>
  <c r="I19" i="20"/>
  <c r="I20" i="20"/>
  <c r="I21" i="20"/>
  <c r="J19" i="20"/>
  <c r="I22" i="20"/>
  <c r="J22" i="20"/>
  <c r="I23" i="20"/>
  <c r="I24" i="20"/>
  <c r="I25" i="20"/>
  <c r="I26" i="20"/>
  <c r="I27" i="20"/>
  <c r="J25" i="20"/>
  <c r="I28" i="20"/>
  <c r="I29" i="20"/>
  <c r="I30" i="20"/>
  <c r="I31" i="20"/>
  <c r="I32" i="20"/>
  <c r="J31" i="20"/>
  <c r="I33" i="20"/>
  <c r="I34" i="20"/>
  <c r="J34" i="20"/>
  <c r="I35" i="20"/>
  <c r="I36" i="20"/>
  <c r="I37" i="20"/>
  <c r="J37" i="20"/>
  <c r="I38" i="20"/>
  <c r="I39" i="20"/>
  <c r="I40" i="20"/>
  <c r="I41" i="20"/>
  <c r="J40" i="20"/>
  <c r="I42" i="20"/>
  <c r="I43" i="20"/>
  <c r="J43" i="20"/>
  <c r="I44" i="20"/>
  <c r="I45" i="20"/>
  <c r="I46" i="20"/>
  <c r="J46" i="20"/>
  <c r="I47" i="20"/>
  <c r="I48" i="20"/>
  <c r="I49" i="20"/>
  <c r="I50" i="20"/>
  <c r="J49" i="20"/>
  <c r="I51" i="20"/>
  <c r="I52" i="20"/>
  <c r="J52" i="20"/>
  <c r="I53" i="20"/>
  <c r="I54" i="20"/>
  <c r="I55" i="20"/>
  <c r="J55" i="20"/>
  <c r="I56" i="20"/>
  <c r="I57" i="20"/>
  <c r="I58" i="20"/>
  <c r="J58" i="20"/>
  <c r="I59" i="20"/>
  <c r="I60" i="20"/>
  <c r="I61" i="20"/>
  <c r="I62" i="20"/>
  <c r="I63" i="20"/>
  <c r="I64" i="20"/>
  <c r="I65" i="20"/>
  <c r="I66" i="20"/>
  <c r="J64" i="20"/>
  <c r="I67" i="20"/>
  <c r="I68" i="20"/>
  <c r="I69" i="20"/>
  <c r="I70" i="20"/>
  <c r="I71" i="20"/>
  <c r="I72" i="20"/>
  <c r="J70" i="20"/>
  <c r="I73" i="20"/>
  <c r="I74" i="20"/>
  <c r="I75" i="20"/>
  <c r="I76" i="20"/>
  <c r="J76" i="20"/>
  <c r="I77" i="20"/>
  <c r="I78" i="20"/>
  <c r="I79" i="20"/>
  <c r="I80" i="20"/>
  <c r="I81" i="20"/>
  <c r="J79" i="20"/>
  <c r="I82" i="20"/>
  <c r="J82" i="20"/>
  <c r="I83" i="20"/>
  <c r="I84" i="20"/>
  <c r="I85" i="20"/>
  <c r="J85" i="20"/>
  <c r="I86" i="20"/>
  <c r="I87" i="20"/>
  <c r="I88" i="20"/>
  <c r="I89" i="20"/>
  <c r="I90" i="20"/>
  <c r="J88" i="20"/>
  <c r="I91" i="20"/>
  <c r="J91" i="20"/>
  <c r="I92" i="20"/>
  <c r="I93" i="20"/>
  <c r="I94" i="20"/>
  <c r="I95" i="20"/>
  <c r="I96" i="20"/>
  <c r="J94" i="20"/>
  <c r="I97" i="20"/>
  <c r="I98" i="20"/>
  <c r="J97" i="20"/>
  <c r="I99" i="20"/>
  <c r="I100" i="20"/>
  <c r="I101" i="20"/>
  <c r="J100" i="20"/>
  <c r="I102" i="20"/>
  <c r="I103" i="20"/>
  <c r="J103" i="20"/>
  <c r="I104" i="20"/>
  <c r="I105" i="20"/>
  <c r="I106" i="20"/>
  <c r="J106" i="20"/>
  <c r="I107" i="20"/>
  <c r="I108" i="20"/>
  <c r="I109" i="20"/>
  <c r="I110" i="20"/>
  <c r="J109" i="20"/>
  <c r="I111" i="20"/>
  <c r="I112" i="20"/>
  <c r="J112" i="20"/>
  <c r="I113" i="20"/>
  <c r="I114" i="20"/>
  <c r="I115" i="20"/>
  <c r="J115" i="20"/>
  <c r="I116" i="20"/>
  <c r="I117" i="20"/>
  <c r="I118" i="20"/>
  <c r="I119" i="20"/>
  <c r="J118" i="20"/>
  <c r="I120" i="20"/>
  <c r="I121" i="20"/>
  <c r="J121" i="20"/>
  <c r="I122" i="20"/>
  <c r="I123" i="20"/>
  <c r="I124" i="20"/>
  <c r="I125" i="20"/>
  <c r="J124" i="20"/>
  <c r="I126" i="20"/>
  <c r="I127" i="20"/>
  <c r="I128" i="20"/>
  <c r="I129" i="20"/>
  <c r="I130" i="20"/>
  <c r="J130" i="20"/>
  <c r="I131" i="20"/>
  <c r="I132" i="20"/>
  <c r="I133" i="20"/>
  <c r="I134" i="20"/>
  <c r="I135" i="20"/>
  <c r="J133" i="20"/>
  <c r="AZ8" i="17"/>
  <c r="BP8" i="17"/>
  <c r="AY8" i="17"/>
  <c r="BO8" i="17"/>
  <c r="AK8" i="17"/>
  <c r="Q8" i="17"/>
  <c r="AG8" i="17"/>
  <c r="N6" i="19"/>
  <c r="E49" i="10"/>
  <c r="H49" i="10"/>
  <c r="E47" i="16"/>
  <c r="D46" i="16"/>
  <c r="G46" i="16"/>
  <c r="F44" i="16"/>
  <c r="G44" i="16"/>
  <c r="F43" i="16"/>
  <c r="F47" i="16"/>
  <c r="G37" i="9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E4" i="9"/>
  <c r="G4" i="9"/>
  <c r="E5" i="9"/>
  <c r="G5" i="9"/>
  <c r="H5" i="10"/>
  <c r="H6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8" i="9"/>
  <c r="G39" i="9"/>
  <c r="G40" i="9"/>
  <c r="G41" i="9"/>
  <c r="G42" i="9"/>
  <c r="G43" i="9"/>
  <c r="G44" i="9"/>
  <c r="G45" i="9"/>
  <c r="G46" i="9"/>
  <c r="G47" i="9"/>
  <c r="H5" i="5"/>
  <c r="K5" i="5"/>
  <c r="H6" i="5"/>
  <c r="K6" i="5"/>
  <c r="H7" i="5"/>
  <c r="K7" i="5"/>
  <c r="H8" i="5"/>
  <c r="K8" i="5"/>
  <c r="H9" i="5"/>
  <c r="K9" i="5"/>
  <c r="H10" i="5"/>
  <c r="K10" i="5"/>
  <c r="H11" i="5"/>
  <c r="K11" i="5"/>
  <c r="H12" i="5"/>
  <c r="K12" i="5"/>
  <c r="H13" i="5"/>
  <c r="K13" i="5"/>
  <c r="H14" i="5"/>
  <c r="K14" i="5"/>
  <c r="H15" i="5"/>
  <c r="K15" i="5"/>
  <c r="H16" i="5"/>
  <c r="K16" i="5"/>
  <c r="H17" i="5"/>
  <c r="K17" i="5"/>
  <c r="H18" i="5"/>
  <c r="K18" i="5"/>
  <c r="H19" i="5"/>
  <c r="K19" i="5"/>
  <c r="H20" i="5"/>
  <c r="K20" i="5"/>
  <c r="H21" i="5"/>
  <c r="K21" i="5"/>
  <c r="H22" i="5"/>
  <c r="K22" i="5"/>
  <c r="H23" i="5"/>
  <c r="K23" i="5"/>
  <c r="H24" i="5"/>
  <c r="K24" i="5"/>
  <c r="H25" i="5"/>
  <c r="K25" i="5"/>
  <c r="H26" i="5"/>
  <c r="K26" i="5"/>
  <c r="H27" i="5"/>
  <c r="K27" i="5"/>
  <c r="H28" i="5"/>
  <c r="K28" i="5"/>
  <c r="H29" i="5"/>
  <c r="K29" i="5"/>
  <c r="H30" i="5"/>
  <c r="K30" i="5"/>
  <c r="H31" i="5"/>
  <c r="K31" i="5"/>
  <c r="H32" i="5"/>
  <c r="K32" i="5"/>
  <c r="H33" i="5"/>
  <c r="K33" i="5"/>
  <c r="H34" i="5"/>
  <c r="K34" i="5"/>
  <c r="H35" i="5"/>
  <c r="K35" i="5"/>
  <c r="H36" i="5"/>
  <c r="K36" i="5"/>
  <c r="H37" i="5"/>
  <c r="K37" i="5"/>
  <c r="H38" i="5"/>
  <c r="K38" i="5"/>
  <c r="H39" i="5"/>
  <c r="K39" i="5"/>
  <c r="H40" i="5"/>
  <c r="K40" i="5"/>
  <c r="H41" i="5"/>
  <c r="K41" i="5"/>
  <c r="H42" i="5"/>
  <c r="K42" i="5"/>
  <c r="H43" i="5"/>
  <c r="K43" i="5"/>
  <c r="H44" i="5"/>
  <c r="K44" i="5"/>
  <c r="H45" i="5"/>
  <c r="K45" i="5"/>
  <c r="H46" i="5"/>
  <c r="K46" i="5"/>
  <c r="H47" i="5"/>
  <c r="K47" i="5"/>
  <c r="H48" i="5"/>
  <c r="K48" i="5"/>
  <c r="J97" i="21"/>
  <c r="J16" i="21"/>
  <c r="E8" i="23"/>
  <c r="H18" i="23"/>
  <c r="J118" i="21"/>
  <c r="O88" i="27"/>
  <c r="C10" i="17"/>
  <c r="J10" i="17"/>
  <c r="P10" i="17"/>
  <c r="E8" i="11"/>
  <c r="P20" i="28"/>
  <c r="B6" i="25"/>
  <c r="C6" i="25"/>
  <c r="B10" i="25"/>
  <c r="N9" i="17"/>
  <c r="O9" i="17"/>
  <c r="I28" i="6"/>
  <c r="P21" i="28"/>
  <c r="B7" i="25"/>
  <c r="P7" i="28"/>
  <c r="P9" i="28"/>
  <c r="I44" i="6"/>
  <c r="I12" i="6"/>
  <c r="P18" i="28"/>
  <c r="B4" i="25"/>
  <c r="J6" i="19"/>
  <c r="N12" i="17"/>
  <c r="O12" i="17"/>
  <c r="AB8" i="17"/>
  <c r="C9" i="25"/>
  <c r="N11" i="17"/>
  <c r="O11" i="17"/>
  <c r="D6" i="19"/>
  <c r="E48" i="9"/>
  <c r="G48" i="9"/>
  <c r="I7" i="6"/>
  <c r="F8" i="11"/>
  <c r="W88" i="27"/>
  <c r="J124" i="21"/>
  <c r="I30" i="6"/>
  <c r="I23" i="6"/>
  <c r="J127" i="20"/>
  <c r="J61" i="20"/>
  <c r="J7" i="20"/>
  <c r="D8" i="11"/>
  <c r="I8" i="11"/>
  <c r="J73" i="20"/>
  <c r="J70" i="21"/>
  <c r="N10" i="17"/>
  <c r="O10" i="17"/>
  <c r="C11" i="25"/>
  <c r="P22" i="28"/>
  <c r="B8" i="25"/>
  <c r="F6" i="19"/>
  <c r="J28" i="20"/>
  <c r="J112" i="21"/>
  <c r="J13" i="21"/>
  <c r="J67" i="20"/>
  <c r="J25" i="21"/>
  <c r="C10" i="25"/>
  <c r="J130" i="21"/>
  <c r="P12" i="28"/>
  <c r="J8" i="11"/>
  <c r="M8" i="11"/>
  <c r="Q8" i="11"/>
  <c r="F25" i="26"/>
  <c r="F8" i="24"/>
  <c r="F10" i="24"/>
  <c r="D14" i="29"/>
  <c r="E15" i="29"/>
  <c r="D15" i="29"/>
  <c r="E16" i="29"/>
  <c r="D16" i="29"/>
  <c r="E17" i="29"/>
  <c r="D17" i="29"/>
  <c r="E18" i="29"/>
  <c r="D18" i="29"/>
  <c r="E19" i="29"/>
  <c r="D19" i="29"/>
  <c r="E20" i="29"/>
  <c r="D20" i="29"/>
  <c r="E21" i="29"/>
  <c r="D21" i="29"/>
  <c r="E22" i="29"/>
  <c r="D22" i="29"/>
  <c r="E23" i="29"/>
  <c r="D23" i="29"/>
  <c r="E24" i="29"/>
  <c r="D24" i="29"/>
  <c r="E25" i="29"/>
  <c r="D25" i="29"/>
  <c r="E26" i="29"/>
  <c r="D26" i="29"/>
  <c r="E27" i="29"/>
  <c r="D27" i="29"/>
  <c r="E28" i="29"/>
  <c r="D28" i="29"/>
  <c r="E29" i="29"/>
  <c r="D29" i="29"/>
  <c r="E30" i="29"/>
  <c r="BF8" i="17"/>
  <c r="G4" i="3"/>
  <c r="BX8" i="17"/>
  <c r="BX11" i="17"/>
  <c r="F17" i="22"/>
  <c r="H17" i="22"/>
  <c r="H16" i="22"/>
  <c r="BI8" i="17"/>
  <c r="CA8" i="17"/>
  <c r="P8" i="17"/>
  <c r="J136" i="21"/>
  <c r="N8" i="11"/>
  <c r="D17" i="22"/>
  <c r="G7" i="22"/>
  <c r="G17" i="22"/>
  <c r="I17" i="22"/>
  <c r="I16" i="22"/>
  <c r="BJ8" i="17"/>
  <c r="CB8" i="17"/>
  <c r="J136" i="20"/>
  <c r="C17" i="22"/>
  <c r="P19" i="28"/>
  <c r="AW8" i="17"/>
  <c r="BM8" i="17"/>
  <c r="N8" i="17"/>
  <c r="P27" i="28"/>
  <c r="B13" i="25"/>
  <c r="C13" i="25"/>
  <c r="D47" i="16"/>
  <c r="L6" i="19"/>
  <c r="H50" i="6"/>
  <c r="AR8" i="17"/>
  <c r="G43" i="16"/>
  <c r="D30" i="29"/>
  <c r="BX10" i="17"/>
  <c r="G8" i="24"/>
  <c r="G10" i="24"/>
  <c r="P28" i="28"/>
  <c r="B5" i="25"/>
  <c r="BC8" i="17"/>
  <c r="K12" i="17"/>
  <c r="T8" i="17"/>
  <c r="O8" i="17"/>
  <c r="V8" i="17"/>
  <c r="E8" i="24"/>
  <c r="E10" i="24"/>
  <c r="O8" i="11"/>
  <c r="BD8" i="17"/>
  <c r="BV8" i="17"/>
  <c r="L12" i="17"/>
  <c r="I50" i="6"/>
  <c r="I12" i="17"/>
  <c r="BU8" i="17"/>
  <c r="E4" i="3"/>
  <c r="F4" i="3"/>
  <c r="BE8" i="17"/>
  <c r="P8" i="11"/>
  <c r="AO8" i="17"/>
  <c r="AS8" i="17"/>
  <c r="AT8" i="17"/>
  <c r="E12" i="17"/>
  <c r="F12" i="17"/>
  <c r="AE8" i="17"/>
  <c r="J12" i="17"/>
  <c r="BW8" i="17"/>
  <c r="P12" i="17"/>
  <c r="W8" i="17"/>
  <c r="U8" i="17"/>
  <c r="X8" i="17"/>
  <c r="Y8" i="17"/>
  <c r="Z8" i="17"/>
  <c r="AC8" i="17"/>
  <c r="AV8" i="17"/>
  <c r="BS8" i="17"/>
  <c r="BR8" i="17"/>
  <c r="BB8" i="17"/>
  <c r="BT8" i="17"/>
  <c r="BG8" i="17"/>
  <c r="BH8" i="17"/>
  <c r="K8" i="23"/>
  <c r="K9" i="23"/>
  <c r="BZ8" i="17"/>
  <c r="BK8" i="17"/>
  <c r="CC8" i="17"/>
  <c r="C4" i="3"/>
  <c r="H4" i="3"/>
  <c r="I4" i="3"/>
  <c r="J4" i="3"/>
  <c r="BY8" i="17"/>
</calcChain>
</file>

<file path=xl/sharedStrings.xml><?xml version="1.0" encoding="utf-8"?>
<sst xmlns="http://schemas.openxmlformats.org/spreadsheetml/2006/main" count="2235" uniqueCount="626">
  <si>
    <t>Amba Maseena</t>
  </si>
  <si>
    <t>Banseli</t>
  </si>
  <si>
    <t>Bhagwanpura</t>
  </si>
  <si>
    <t>Bhanwta</t>
  </si>
  <si>
    <t>Budhwara</t>
  </si>
  <si>
    <t>Chawandiya</t>
  </si>
  <si>
    <t>Dantra</t>
  </si>
  <si>
    <t>Deo Nagar</t>
  </si>
  <si>
    <t>Dodiyana</t>
  </si>
  <si>
    <t>Doomara</t>
  </si>
  <si>
    <t>Doongariya Khurd</t>
  </si>
  <si>
    <t>Fatehpura</t>
  </si>
  <si>
    <t>Ganahera</t>
  </si>
  <si>
    <t>Govindgarh</t>
  </si>
  <si>
    <t>Gudha</t>
  </si>
  <si>
    <t>Hanwantpura</t>
  </si>
  <si>
    <t>Jaswantpura</t>
  </si>
  <si>
    <t>Kalesara</t>
  </si>
  <si>
    <t>Kawalai</t>
  </si>
  <si>
    <t>Khori</t>
  </si>
  <si>
    <t>Kishanpura Goyla</t>
  </si>
  <si>
    <t>Leswa</t>
  </si>
  <si>
    <t>Lyali khera</t>
  </si>
  <si>
    <t>Majhewla</t>
  </si>
  <si>
    <t>Miyapur</t>
  </si>
  <si>
    <t>Motisar</t>
  </si>
  <si>
    <t>Nad</t>
  </si>
  <si>
    <t>Nand</t>
  </si>
  <si>
    <t>Nathoothala</t>
  </si>
  <si>
    <t>Nooriyawas</t>
  </si>
  <si>
    <t>Picholiya</t>
  </si>
  <si>
    <t>Pisangan</t>
  </si>
  <si>
    <t>Pushkar (M)</t>
  </si>
  <si>
    <t>Pushkar (R)</t>
  </si>
  <si>
    <t>Rampura Dabla</t>
  </si>
  <si>
    <t>Rampura Nand</t>
  </si>
  <si>
    <t>Rewat</t>
  </si>
  <si>
    <t>Saradhana</t>
  </si>
  <si>
    <t>Sarsari</t>
  </si>
  <si>
    <t>Sawaipura</t>
  </si>
  <si>
    <t>Sethan</t>
  </si>
  <si>
    <t>Surajkund</t>
  </si>
  <si>
    <t>Tilora</t>
  </si>
  <si>
    <t>Village</t>
  </si>
  <si>
    <t>Total</t>
  </si>
  <si>
    <t>Sr. No.</t>
  </si>
  <si>
    <t>Net Available Ground water Recharge (Ha.m/Yr)</t>
  </si>
  <si>
    <t>Net Irrigation Requirement (m)</t>
  </si>
  <si>
    <t>Ground Water Draft for Irrigation (ha.m/Yr)</t>
  </si>
  <si>
    <t>Irrigation Potential Created (ha) [col.5/4]</t>
  </si>
  <si>
    <t>Allocation of Domestic and Industrial need for the Year 2025 (ha.m/yr)</t>
  </si>
  <si>
    <t>Ground Water Balance           (ha.m)              [Col.3-5-7]</t>
  </si>
  <si>
    <t>Balance Irrigation Potential from Ground Water (ha) [Col.8/4]</t>
  </si>
  <si>
    <t>Ultimate Irrigation Potential from Ground water (ha) [Col.6+9]</t>
  </si>
  <si>
    <t xml:space="preserve">Name of village </t>
  </si>
  <si>
    <t>Kadel</t>
  </si>
  <si>
    <t>S. No.</t>
  </si>
  <si>
    <t xml:space="preserve">Block </t>
  </si>
  <si>
    <t>Zone</t>
  </si>
  <si>
    <t xml:space="preserve">Hydrogeological Formation </t>
  </si>
  <si>
    <t xml:space="preserve">Crop Type </t>
  </si>
  <si>
    <t xml:space="preserve">Average Depth of Water Applied (m) </t>
  </si>
  <si>
    <t>Total water applied (mcm)</t>
  </si>
  <si>
    <t xml:space="preserve">Seepage Factor </t>
  </si>
  <si>
    <t>Non-Monsoon Seepage (mcm)</t>
  </si>
  <si>
    <t>Total Seepage (mcm)</t>
  </si>
  <si>
    <t>RABI</t>
  </si>
  <si>
    <t>_</t>
  </si>
  <si>
    <t>A</t>
  </si>
  <si>
    <t>ALLUVIUM</t>
  </si>
  <si>
    <t>PISANGAN</t>
  </si>
  <si>
    <t>TABLE :  III  -  ESTIMATION OF SEEPAGE FROM TANKS</t>
  </si>
  <si>
    <t xml:space="preserve">Village </t>
  </si>
  <si>
    <t>Potential Zone</t>
  </si>
  <si>
    <t xml:space="preserve">Number of Tanks </t>
  </si>
  <si>
    <t>Total Water Spread Area (Sq.Km.)</t>
  </si>
  <si>
    <t>Seepage Factor   1.4mm/day</t>
  </si>
  <si>
    <t>Ambamassena</t>
  </si>
  <si>
    <t>Dev Nagar</t>
  </si>
  <si>
    <t>Nathuthala</t>
  </si>
  <si>
    <t>Sarasari</t>
  </si>
  <si>
    <t xml:space="preserve">Chawandiya </t>
  </si>
  <si>
    <t xml:space="preserve">Doomara </t>
  </si>
  <si>
    <t xml:space="preserve">Gudha </t>
  </si>
  <si>
    <t>Kawlai</t>
  </si>
  <si>
    <t xml:space="preserve">Laylikhera </t>
  </si>
  <si>
    <t>TABLE  : IV  -</t>
  </si>
  <si>
    <t xml:space="preserve">S. No. </t>
  </si>
  <si>
    <t xml:space="preserve">Zone </t>
  </si>
  <si>
    <t xml:space="preserve">Type of Well </t>
  </si>
  <si>
    <t xml:space="preserve">No. of Wells in use </t>
  </si>
  <si>
    <t xml:space="preserve">Average Discharge of Wells  (LPD) </t>
  </si>
  <si>
    <t xml:space="preserve">No. of Operational Days </t>
  </si>
  <si>
    <t>Annual Withdrawl (mcm)</t>
  </si>
  <si>
    <t>Total Pumpage (mcm)</t>
  </si>
  <si>
    <t>-</t>
  </si>
  <si>
    <t>TABLE-V  :</t>
  </si>
  <si>
    <t>Average Yield of Wells (m3/day)</t>
  </si>
  <si>
    <t>No. of Operational Days</t>
  </si>
  <si>
    <t>Annual Withdrawal (mcm)</t>
  </si>
  <si>
    <t>Total Draft (mcm)</t>
  </si>
  <si>
    <t>Block</t>
  </si>
  <si>
    <t xml:space="preserve">Potential Zone </t>
  </si>
  <si>
    <t>Area Irrigation (Sq.Km.)</t>
  </si>
  <si>
    <t>Depth of Watering (Sq.Km.)</t>
  </si>
  <si>
    <t>Water Requirement (mcm)</t>
  </si>
  <si>
    <t>Area (Sq.Km.)</t>
  </si>
  <si>
    <t>Specific Yield (%)</t>
  </si>
  <si>
    <t>Draft based on Depletion (mcm)</t>
  </si>
  <si>
    <t>Depletion (m) Post 2016 - Pre-2017</t>
  </si>
  <si>
    <t>TABLE  -  VII   :  DRAFT BASED ON DEPLETION OF WATER LEVEL BETWEEN POST MONSOON 2016 &amp; PRE-MONSOON 2017</t>
  </si>
  <si>
    <t>TABLE -   :  IRRIGATION POTENTIAL OF PEESANGAN GW CLUSTER (JUNE 2017)</t>
  </si>
  <si>
    <t>TABLE-II  :   RECAHRGE FROM SURFACE WATER IRRIGATION BY TANKS &amp; PONDS FOR THE YEAR 2016 OF PEESANGAN GW CLUSTER AJMER DISTRICT</t>
  </si>
  <si>
    <t xml:space="preserve"> QUANTITATIVE ASSESSMENT OF ANNUAL PUMPAGE FROM EXISTING WELLS, TUBEWELLS AND HANDPUMPS IN USE FOR DRINKING PURPOSE IN ALLUVIUM POTENTIAL ZONES IN PEESANGAN GW CLUSTER, AJMER DISTRICT FOR THE YEAR 2016</t>
  </si>
  <si>
    <t>DRAFT FROM IRRIGATION WELLS SHOWING QUANTITATIVE ASSESSMENT OF ANNUAL PUMPAGE FROM EXISTING WELLS IN USE IN ALLUVIUM ZONES IN PEESANGAN GW CLUSTER OF AJMER DISTRICT FOR THE YEAR 2016</t>
  </si>
  <si>
    <t>TABLE-VI  :    DRAFT BASED ON IRRIGATED AREA &amp; ITS AVERAGE WATER REQUIREMENT OF CROPS</t>
  </si>
  <si>
    <t xml:space="preserve">Source: Data as per the Detailed Hydrogeological Survey of 100% GW extraction Units falls under aquifer boundary being conducted during March - April 2017 by CA Arpan Seva Sansthan under RACP </t>
  </si>
  <si>
    <t xml:space="preserve">Source: Data as per the Village Base Line Survey of area of the village falls under aquifer boundary being conducted during March - April 2017 by CA Arpan Seva Sansthan under RACP </t>
  </si>
  <si>
    <t xml:space="preserve">Kishanpura </t>
  </si>
  <si>
    <t>Pushkar</t>
  </si>
  <si>
    <t>Irrigated Area (Sq.Km) By Tanks &amp; Canal IRRIGATED AREA IN SQ.KM.</t>
  </si>
  <si>
    <t>Crops</t>
  </si>
  <si>
    <t>Items</t>
  </si>
  <si>
    <t>Dumada</t>
  </si>
  <si>
    <t>Amba Masina</t>
  </si>
  <si>
    <t>Kanvlai</t>
  </si>
  <si>
    <t xml:space="preserve">Hanwantpura </t>
  </si>
  <si>
    <t>Lesva</t>
  </si>
  <si>
    <t>Rampura</t>
  </si>
  <si>
    <t>Kishanpura</t>
  </si>
  <si>
    <t>Ganaheda</t>
  </si>
  <si>
    <t>Chavandia</t>
  </si>
  <si>
    <t>Dungria Khurd</t>
  </si>
  <si>
    <t>Devnagar</t>
  </si>
  <si>
    <t xml:space="preserve">Miyapur </t>
  </si>
  <si>
    <t>Lyali Khera</t>
  </si>
  <si>
    <t>Sarsadi</t>
  </si>
  <si>
    <t>A.</t>
  </si>
  <si>
    <t>Kharif</t>
  </si>
  <si>
    <t>Ist Crop
Jowar</t>
  </si>
  <si>
    <t>Area (ha)</t>
  </si>
  <si>
    <t>2nd Crop
Bajra</t>
  </si>
  <si>
    <t>3rd Crop
Moong</t>
  </si>
  <si>
    <t>4th Crop
Guar</t>
  </si>
  <si>
    <t>5th Crop
Maize</t>
  </si>
  <si>
    <t>6th Crop
Ground Nut</t>
  </si>
  <si>
    <t>7th Crop
Cotton</t>
  </si>
  <si>
    <t>B.</t>
  </si>
  <si>
    <t>Rabi</t>
  </si>
  <si>
    <t>Ist Crop
Wheat</t>
  </si>
  <si>
    <t>2nd Crop
Barley</t>
  </si>
  <si>
    <t>3rd Crop
Gram</t>
  </si>
  <si>
    <t>4th Crop
Mustard</t>
  </si>
  <si>
    <t>5th Crop
Cumin</t>
  </si>
  <si>
    <t>6th Crop
Taramira</t>
  </si>
  <si>
    <t xml:space="preserve">Source: Data as per the Agriculture data receive from the DPM, Agriculture Department, Ajmer From: dy director &lt;ddagr_ajm@rediffmail.com&gt; Dated: Fri, Aug 25, 2017 at 12:17 PM through e mail </t>
  </si>
  <si>
    <t xml:space="preserve"> WATER LEVEL FLUCTUATION DATA (MTS) FROM 2007-2016 OF Peesangan GW cluster area </t>
  </si>
  <si>
    <t>S.NO</t>
  </si>
  <si>
    <t>NAME OF VILLAGE</t>
  </si>
  <si>
    <t>OWNER NAME</t>
  </si>
  <si>
    <t>TOTAL DEPTH</t>
  </si>
  <si>
    <t>Longitude</t>
  </si>
  <si>
    <t>Latitude</t>
  </si>
  <si>
    <t>PRE</t>
  </si>
  <si>
    <t>POST</t>
  </si>
  <si>
    <t>FLU</t>
  </si>
  <si>
    <t>G.W.D.</t>
  </si>
  <si>
    <t>26°26'56.52''</t>
  </si>
  <si>
    <t>74°27'55.2''</t>
  </si>
  <si>
    <t>PRAHLAD PATWARI</t>
  </si>
  <si>
    <t>26°26'46.77''</t>
  </si>
  <si>
    <t>74°27'54.73''</t>
  </si>
  <si>
    <t>CHATARBHUJ S/O BARDAJI</t>
  </si>
  <si>
    <t>26°16'8.64''</t>
  </si>
  <si>
    <t>74°37'22.35''</t>
  </si>
  <si>
    <t>dry</t>
  </si>
  <si>
    <t>26°22'22''</t>
  </si>
  <si>
    <t>74°26'7.55''</t>
  </si>
  <si>
    <t>26°28'19.13''</t>
  </si>
  <si>
    <t>74°25'33.58''</t>
  </si>
  <si>
    <t>Pushkar (Rural)</t>
  </si>
  <si>
    <t>26°24'27.43''</t>
  </si>
  <si>
    <t>74°28'10.24''</t>
  </si>
  <si>
    <t>NANU RAM HAMIRA RAWAT</t>
  </si>
  <si>
    <t>26°17'23.3''</t>
  </si>
  <si>
    <t>74°17'18.34''</t>
  </si>
  <si>
    <t>LAXMAN NATHU YADAV</t>
  </si>
  <si>
    <t>26°13'54.69''</t>
  </si>
  <si>
    <t>74°23'38.1''</t>
  </si>
  <si>
    <t>RAMJI S/O KASTUR JI</t>
  </si>
  <si>
    <t>26°28'2.69''</t>
  </si>
  <si>
    <t>74°30'30''</t>
  </si>
  <si>
    <t>PEESANGAN</t>
  </si>
  <si>
    <t>26°21'22.35''</t>
  </si>
  <si>
    <t>74°22'51.85''</t>
  </si>
  <si>
    <t>NAURATMAL SONI</t>
  </si>
  <si>
    <t>26°24'3.97''</t>
  </si>
  <si>
    <t>74°22'52.47''</t>
  </si>
  <si>
    <t>SWAJ KARAN KAJJA CHANGAL (JAT)</t>
  </si>
  <si>
    <t>26°24'55.65''</t>
  </si>
  <si>
    <t>74°18'44.43''</t>
  </si>
  <si>
    <t>Jameel Chhipa</t>
  </si>
  <si>
    <t>26°20'7.5''</t>
  </si>
  <si>
    <t>74°19'21.46''</t>
  </si>
  <si>
    <t>Ranjeet Ji Jat</t>
  </si>
  <si>
    <t>26°21'9.44''</t>
  </si>
  <si>
    <t>74°35'18.66''</t>
  </si>
  <si>
    <t>AMBAMASEENA</t>
  </si>
  <si>
    <t>Sh.Panchu singh ji /deva ji</t>
  </si>
  <si>
    <t xml:space="preserve">26 22 21.1 </t>
  </si>
  <si>
    <t>74 32 26.4</t>
  </si>
  <si>
    <t>Shri Harkaran Ji/Balu ji Jat</t>
  </si>
  <si>
    <t>26 21 50.5</t>
  </si>
  <si>
    <t>74 26 47.7</t>
  </si>
  <si>
    <t>Shri Babulal Ji /Heeralal ji Mali</t>
  </si>
  <si>
    <t>26 20 00.0</t>
  </si>
  <si>
    <t>74 29 29.0</t>
  </si>
  <si>
    <t>Sh. Girdhari lal/Poosa ji</t>
  </si>
  <si>
    <t>26 22 0.09</t>
  </si>
  <si>
    <t>74 34 49.1</t>
  </si>
  <si>
    <t>Fatehpur</t>
  </si>
  <si>
    <t xml:space="preserve"> In front of primary school (Budha ji,Ratna ji,Mithuji)</t>
  </si>
  <si>
    <t>26 24 45.2</t>
  </si>
  <si>
    <t>74 24 75.1</t>
  </si>
  <si>
    <t>Sh. Bheekaram /Jawahar lal ji Raigar</t>
  </si>
  <si>
    <t xml:space="preserve">26 27 21.2 </t>
  </si>
  <si>
    <t>74 25 56.7</t>
  </si>
  <si>
    <t>khori</t>
  </si>
  <si>
    <t>Sh. Sravan ji /Heera ji Rawat</t>
  </si>
  <si>
    <t>26 34 00.9</t>
  </si>
  <si>
    <t>74 35 46.9</t>
  </si>
  <si>
    <t>Sh. Mahesh ji/Omprakash ji Khateek</t>
  </si>
  <si>
    <t>26 29 22.4</t>
  </si>
  <si>
    <t>74 29 01.3</t>
  </si>
  <si>
    <t>Sh.Kalu Ji /Mishri ji Raigar</t>
  </si>
  <si>
    <t>26 22 00.4</t>
  </si>
  <si>
    <t>74 30 02.6</t>
  </si>
  <si>
    <t>Shri Bhenru lal Ji /Deva Ji Gurjar</t>
  </si>
  <si>
    <t>26 21 01.4</t>
  </si>
  <si>
    <t>74 29 11.6</t>
  </si>
  <si>
    <t>Sh Kana ji/Mishri ji Jat</t>
  </si>
  <si>
    <t>26 23 33.5</t>
  </si>
  <si>
    <t>74 24 59.6</t>
  </si>
  <si>
    <t>Sh. Babu lal ji/Bodu ji Raigar</t>
  </si>
  <si>
    <t>26 25 25.5</t>
  </si>
  <si>
    <t>74 24 40.3</t>
  </si>
  <si>
    <t>Soorajkund</t>
  </si>
  <si>
    <t>Shri Hagam Ji /Heera Ji</t>
  </si>
  <si>
    <t>26 27 39.5</t>
  </si>
  <si>
    <t>74 28 36.5</t>
  </si>
  <si>
    <t>Doongriya Khurd</t>
  </si>
  <si>
    <t>Sh. Ramswroop /Rodu lal ji Raigar</t>
  </si>
  <si>
    <t>26 33 04.2</t>
  </si>
  <si>
    <t>74 33 02.7</t>
  </si>
  <si>
    <t>Kalesra</t>
  </si>
  <si>
    <t>Public well</t>
  </si>
  <si>
    <t>26 20 34.1</t>
  </si>
  <si>
    <t>74 25 19.2</t>
  </si>
  <si>
    <t xml:space="preserve"> Shri Harji /Lala ji Jat</t>
  </si>
  <si>
    <t>26 20 14.1</t>
  </si>
  <si>
    <t>74 28 30.9</t>
  </si>
  <si>
    <t>Govind Garh</t>
  </si>
  <si>
    <t>Sh.Naina ji/Ganesh ji Kumawat</t>
  </si>
  <si>
    <t>26 27 22.9</t>
  </si>
  <si>
    <t>74 23 22.9</t>
  </si>
  <si>
    <t>Shri Balu ji/Laxman ji Rawat</t>
  </si>
  <si>
    <t>26 19 05.9</t>
  </si>
  <si>
    <t>74 27 09.2</t>
  </si>
  <si>
    <t>Sh.Ganpat ji/Suraj ji</t>
  </si>
  <si>
    <t>26 21 54.7</t>
  </si>
  <si>
    <t>74 35 14.6</t>
  </si>
  <si>
    <t>PREME KISHORE S/O SANKERLAL 8875324092</t>
  </si>
  <si>
    <t>GOVIND GARAH</t>
  </si>
  <si>
    <t>SHARAN SINGH  9413692988</t>
  </si>
  <si>
    <t>HARI SINGH S/O RAJU PANNA</t>
  </si>
  <si>
    <t>HAJISARWER  S/O SULAIMAN  8414668615</t>
  </si>
  <si>
    <t>MANISH JI</t>
  </si>
  <si>
    <t>PUDHU JI</t>
  </si>
  <si>
    <t>RAJU LAL  S/O MULARAM JI 9282888575</t>
  </si>
  <si>
    <t>BEEKA JI S/O KOLA JI 8058939537</t>
  </si>
  <si>
    <t>GOVINDGARAH</t>
  </si>
  <si>
    <t>BABU LAL</t>
  </si>
  <si>
    <t>SETHAN</t>
  </si>
  <si>
    <t>OM JI  S/O PHAGU JI   9983442434</t>
  </si>
  <si>
    <t>PANALAL S/O MAYWADIYA 9983481539</t>
  </si>
  <si>
    <t>PERULAL KUMAWAT S/O MADU  JI 7597521502</t>
  </si>
  <si>
    <t>PUPLIC WELL</t>
  </si>
  <si>
    <t>RAJU JI  7725925171</t>
  </si>
  <si>
    <t>MALARAM   S/O YADHAM JI  9799175460</t>
  </si>
  <si>
    <t>LESWA</t>
  </si>
  <si>
    <t>LAL MOHMMED S/O MOHMMED HUSEEN 9828788325</t>
  </si>
  <si>
    <t>HANUWANTPURA</t>
  </si>
  <si>
    <t>JANDMAL  S/O  BHODHURAM   9799310495</t>
  </si>
  <si>
    <t>BUDHWARA</t>
  </si>
  <si>
    <t>RAMDEVE S/O GANA JI 9785087621</t>
  </si>
  <si>
    <t>RAMPURADBLA</t>
  </si>
  <si>
    <t>CHANDRA JI S/O SUAJI 9982936300</t>
  </si>
  <si>
    <t>DANTRA</t>
  </si>
  <si>
    <t>Ram lal s/o Bhola ji 9660615122</t>
  </si>
  <si>
    <t>BHANWTA</t>
  </si>
  <si>
    <t>BHUDHARAM JI S/O CHOTHARAM    9982882580</t>
  </si>
  <si>
    <t>NOORIYAWAS</t>
  </si>
  <si>
    <t>PUBLIC WELL</t>
  </si>
  <si>
    <t>MAN SINGH   9784906990</t>
  </si>
  <si>
    <t>SHIVAKARAN  S/O BHAWERJI    9887321822</t>
  </si>
  <si>
    <t>NATHOOTHALA</t>
  </si>
  <si>
    <t>SUVA   S/O KISHNARAM</t>
  </si>
  <si>
    <t>BHAGIRANG SINGH  S/O PERU SINGH  9572832139</t>
  </si>
  <si>
    <t>MITHU PRAKASH  9799979598</t>
  </si>
  <si>
    <t>DODIYANA</t>
  </si>
  <si>
    <t>Raman dave s/o Narayanan</t>
  </si>
  <si>
    <t>HARGIRAM JI S/O JAGANLAL 9784713600</t>
  </si>
  <si>
    <t>GANAHERA</t>
  </si>
  <si>
    <t>GOPAL JI S/O BHAIRU JI 9928718512</t>
  </si>
  <si>
    <t>RAHUG SINGH  S/O SWANNI SINGH   8890480240</t>
  </si>
  <si>
    <t>TILORA</t>
  </si>
  <si>
    <t>KULAP JI  S/O JODHA JI</t>
  </si>
  <si>
    <t>NARAYANLAL  S/O JEEVAN JI   7073205821</t>
  </si>
  <si>
    <t>DOONGARIYA KHURD</t>
  </si>
  <si>
    <t xml:space="preserve"> BHANWER SINGH S/O LALSINGH 9414991262</t>
  </si>
  <si>
    <t>BANSELI</t>
  </si>
  <si>
    <t>SHATHAWANI</t>
  </si>
  <si>
    <t>NALA PUSHKER</t>
  </si>
  <si>
    <t>RATHANA JI S/O DALAJI 9828939651</t>
  </si>
  <si>
    <t>PATHERI S/O GOPALJI 8094381083</t>
  </si>
  <si>
    <t>SARADHANA</t>
  </si>
  <si>
    <t>Amersenji s/o Mangilal  9414931534</t>
  </si>
  <si>
    <t xml:space="preserve"> DEONAGER</t>
  </si>
  <si>
    <t>HARAJI KADRI S/O GOPALJI 9460090280</t>
  </si>
  <si>
    <t>Sugah chand</t>
  </si>
  <si>
    <t>DOOMARA</t>
  </si>
  <si>
    <t>DINESH   9166609129</t>
  </si>
  <si>
    <t>SANKER JI  S/O LATHU JI  9929373507     9924593468</t>
  </si>
  <si>
    <t xml:space="preserve">DINESH S/O RAM CHADHER </t>
  </si>
  <si>
    <t>KADEL</t>
  </si>
  <si>
    <t>Ramesh Guptha S/O Surajpan Guptha   9414007375</t>
  </si>
  <si>
    <t>DEONAGER</t>
  </si>
  <si>
    <t>GOPAL  S/O RAMLALJI 9928724099</t>
  </si>
  <si>
    <t>REWAT</t>
  </si>
  <si>
    <t>SKUMAR S/O GIRIRAJ 9828642597</t>
  </si>
  <si>
    <t>HARI JI  S/O GOPAL JI  7742950059</t>
  </si>
  <si>
    <t>KAWALAI</t>
  </si>
  <si>
    <t>CHODUSINGH S/O UMA SINGH</t>
  </si>
  <si>
    <t>KHORI</t>
  </si>
  <si>
    <t>kasher davi w/o  RATHANLALA 8290789091</t>
  </si>
  <si>
    <t xml:space="preserve"> KAWALAI</t>
  </si>
  <si>
    <t>GANDER SINGH S/O BAJRAN SINGH   9660088501</t>
  </si>
  <si>
    <t>RAMPURA DABLA</t>
  </si>
  <si>
    <t>BHATSOORI</t>
  </si>
  <si>
    <t>GOVINDGARH</t>
  </si>
  <si>
    <t>BHAGWANPURA</t>
  </si>
  <si>
    <t>NAND</t>
  </si>
  <si>
    <t>DEO NAGAR</t>
  </si>
  <si>
    <t>MAJHEWLA</t>
  </si>
  <si>
    <t>KALESARA</t>
  </si>
  <si>
    <t>PICHOLIYA</t>
  </si>
  <si>
    <t>PUSHKAR (M)</t>
  </si>
  <si>
    <t xml:space="preserve">Surajkund, </t>
  </si>
  <si>
    <t xml:space="preserve">S.No. </t>
  </si>
  <si>
    <t xml:space="preserve">Source: Data as per the Census 2011 and Detailed Hydrogeological Survey of 100% GW extraction Units falls under aquifer boundary being conducted during March - April 2017 by CA Arpan Seva Sansthan under RACP </t>
  </si>
  <si>
    <t>ESTIMATION OF GROUND WATER RECHARGE IN MONSOON PERIOD BY WATER TABLE FLUCTUATION METHOD</t>
  </si>
  <si>
    <t>ESTIMATION OF GROUND WATER RECHARGE IN MONSOON PERIOD</t>
  </si>
  <si>
    <t>NONMONSOONAL RECHARGE BY R.I.F. APPROACH AND BY OTHER SOURCES AND ANNUAL GROUND WATER AVAILABILITY</t>
  </si>
  <si>
    <t>GROUND WATER RECHARGE,EXTRACTION &amp; STAGE OF GROUND WATER DEVELOPMENT</t>
  </si>
  <si>
    <t xml:space="preserve">   Year</t>
  </si>
  <si>
    <t xml:space="preserve"> Potential zone area</t>
  </si>
  <si>
    <t xml:space="preserve"> Water Level Fluctuation</t>
  </si>
  <si>
    <t xml:space="preserve"> Specific Yield</t>
  </si>
  <si>
    <t xml:space="preserve">   Gross Kharif Draft (Agr.+        Dom.)</t>
  </si>
  <si>
    <t xml:space="preserve"> Monsoon Recharge from Ground water Irrig.          ( Rgw)</t>
  </si>
  <si>
    <t xml:space="preserve"> Monsoon Recharge from canal (Rc)</t>
  </si>
  <si>
    <t xml:space="preserve"> Monsoon Recharge from SWI  (Rsw)</t>
  </si>
  <si>
    <t xml:space="preserve"> Monsoon Recharge from Tanks &amp; Ponds (Rt)</t>
  </si>
  <si>
    <t xml:space="preserve">  Rainfall Recharge (Ri)</t>
  </si>
  <si>
    <t>Gross Domestic Draft</t>
  </si>
  <si>
    <t>Normal Monsoon Rainfall             ( r )</t>
  </si>
  <si>
    <t xml:space="preserve"> Monsoon Rainfall (ri)</t>
  </si>
  <si>
    <t>Rainfall * Rainfall Monsoon (ri*ri)</t>
  </si>
  <si>
    <t>Monsoon Rainfall* Recharge (ri*Ri*)</t>
  </si>
  <si>
    <t xml:space="preserve"> Type of Area</t>
  </si>
  <si>
    <t>S1               (Sum of Rainfall in Monsoon)</t>
  </si>
  <si>
    <t>S2                      (Sum of Rainfall Recharge in Monsoon)</t>
  </si>
  <si>
    <t>S3              (Sum of Rainfall*    Rainfall Monsoon)</t>
  </si>
  <si>
    <t>S4                (Sum of Monsoon Rainfall*      Recharge)</t>
  </si>
  <si>
    <t>(a)               (Constant)</t>
  </si>
  <si>
    <t>(b)                (Constant)</t>
  </si>
  <si>
    <t xml:space="preserve">  Rrf              normal (Linear regression method (a*x+b)</t>
  </si>
  <si>
    <t>R.I. Factor</t>
  </si>
  <si>
    <t xml:space="preserve"> Monsoon Recharge Rrf            (Normal rifm)</t>
  </si>
  <si>
    <t xml:space="preserve"> Accepted Value of Monsoon Rainfall recharge Rrf (Normal)</t>
  </si>
  <si>
    <t xml:space="preserve">  Total Recharge from other sources </t>
  </si>
  <si>
    <t xml:space="preserve"> Total recharge during monsoon season R (normal)</t>
  </si>
  <si>
    <t>Type of Area</t>
  </si>
  <si>
    <t>Potential zone</t>
  </si>
  <si>
    <t>Potential Zone area</t>
  </si>
  <si>
    <t xml:space="preserve">  R.I Factor</t>
  </si>
  <si>
    <t xml:space="preserve">  Normal Non-monsoon rainfall </t>
  </si>
  <si>
    <t xml:space="preserve"> Normal Annual Rainfall</t>
  </si>
  <si>
    <t xml:space="preserve">Recharge from Rainfall during non-monsoon </t>
  </si>
  <si>
    <t xml:space="preserve">  Recharge from ground water irrigation (Rgw)</t>
  </si>
  <si>
    <t xml:space="preserve"> Non monsoon recharge from canal (Rc)</t>
  </si>
  <si>
    <t>Non- monsoon Recharge from SWI (Rsw)</t>
  </si>
  <si>
    <t xml:space="preserve">  Total Recharge in Non-      monsoon season</t>
  </si>
  <si>
    <t>Total Annual ground water Recharge</t>
  </si>
  <si>
    <t xml:space="preserve">  Natural Discharge during non-       monsoon season </t>
  </si>
  <si>
    <t xml:space="preserve">  Block</t>
  </si>
  <si>
    <t xml:space="preserve">   Area of Block</t>
  </si>
  <si>
    <t xml:space="preserve">  Type of Area</t>
  </si>
  <si>
    <t>Potential zone area</t>
  </si>
  <si>
    <t xml:space="preserve">    Net Annual Ground Water Availability</t>
  </si>
  <si>
    <t xml:space="preserve">Existing Gross Ground Water Draft for Irrigation </t>
  </si>
  <si>
    <t xml:space="preserve">  Existing Gross G.W. Draft for Dom. &amp; Ind. Use</t>
  </si>
  <si>
    <t xml:space="preserve">   Existing Gross Ground Water Draft for all uses </t>
  </si>
  <si>
    <t>Net G.W. Availability for future Irr. Dev.</t>
  </si>
  <si>
    <t>Stage of G.W. Develop-      ment.</t>
  </si>
  <si>
    <t>Whether significant decline in Pre monsoon W.L.</t>
  </si>
  <si>
    <t xml:space="preserve">Whether significant decline in post monsoon W.L. </t>
  </si>
  <si>
    <t xml:space="preserve"> Category</t>
  </si>
  <si>
    <t xml:space="preserve"> (Sq.Km.)</t>
  </si>
  <si>
    <t xml:space="preserve">     (m)</t>
  </si>
  <si>
    <t>(%)</t>
  </si>
  <si>
    <t xml:space="preserve">  (mcm)</t>
  </si>
  <si>
    <t xml:space="preserve">   (mcm)</t>
  </si>
  <si>
    <t xml:space="preserve">    (mcm)</t>
  </si>
  <si>
    <t>(m)</t>
  </si>
  <si>
    <t>(mcm)</t>
  </si>
  <si>
    <t xml:space="preserve">     (mcm)</t>
  </si>
  <si>
    <t>(Sq.Km.)</t>
  </si>
  <si>
    <t xml:space="preserve">  ( mcm )</t>
  </si>
  <si>
    <t>(Sq.kms)</t>
  </si>
  <si>
    <t xml:space="preserve">  (Yes/No)</t>
  </si>
  <si>
    <t>NC</t>
  </si>
  <si>
    <t xml:space="preserve">A </t>
  </si>
  <si>
    <t xml:space="preserve"> GROUND WATER POTENTIAL OF PEESANGAN GW CLUSTER OF DISTRICT: AJMER AS ON JUNE 2017</t>
  </si>
  <si>
    <t>TABLE-XIII</t>
  </si>
  <si>
    <t>BLOCKWISE BIFURCATION OF MONTHLY RAINFALL (mm) FOR MONSOON AND NON-MONSOON CYCLE</t>
  </si>
  <si>
    <t>June</t>
  </si>
  <si>
    <t>July</t>
  </si>
  <si>
    <t>Jan</t>
  </si>
  <si>
    <t>May</t>
  </si>
  <si>
    <t>BLOCK: Pisangan</t>
  </si>
  <si>
    <t>TABLE  -  XI :     SHOWING MONSOON &amp; NON-MONSOON RAINFALL (2012-16)</t>
  </si>
  <si>
    <t>Unit :  mm</t>
  </si>
  <si>
    <t>BLOCKS</t>
  </si>
  <si>
    <t>Normal Non-Monsoon rainfall</t>
  </si>
  <si>
    <t>Normal Annual rainfall</t>
  </si>
  <si>
    <t>Normal Monsoon Rainfall</t>
  </si>
  <si>
    <t xml:space="preserve"> Monsoon Rainfall</t>
  </si>
  <si>
    <t xml:space="preserve">PEESANGAN GW CLUSTER </t>
  </si>
  <si>
    <t xml:space="preserve">Dug well </t>
  </si>
  <si>
    <t xml:space="preserve">Dug cum Bore Well </t>
  </si>
  <si>
    <t xml:space="preserve">Tube well </t>
  </si>
  <si>
    <t>COMPUTATION  FOR TREND OF WATER LEVELS  FOR THE PERIOD 2007-2016 IN PEESANGAN GW CLUSTER OF AJMER DISTRICT</t>
  </si>
  <si>
    <t>Year</t>
  </si>
  <si>
    <t>No</t>
  </si>
  <si>
    <t>Average  Pre-Mon. W.L. (m)</t>
  </si>
  <si>
    <t xml:space="preserve">Average Post-mon. W.L.  (m.) </t>
  </si>
  <si>
    <t>Value "a" for Pre-Mon. W.L.</t>
  </si>
  <si>
    <t>Value "a" for Post-mon. W.L.</t>
  </si>
  <si>
    <t>X1</t>
  </si>
  <si>
    <t>Y1</t>
  </si>
  <si>
    <t>Y2</t>
  </si>
  <si>
    <t>X1^2</t>
  </si>
  <si>
    <t>X1*Y1</t>
  </si>
  <si>
    <t>X1*Y2</t>
  </si>
  <si>
    <t>"a"- pre</t>
  </si>
  <si>
    <t>"a" -post</t>
  </si>
  <si>
    <t xml:space="preserve">BLOCK : PISANGAN </t>
  </si>
  <si>
    <t>ZONE-A</t>
  </si>
  <si>
    <t>TABLE-XVII</t>
  </si>
  <si>
    <t xml:space="preserve">BLOCKWISE AND ZONEWISE RECOMMENDATIONS FOR FUTURE </t>
  </si>
  <si>
    <t xml:space="preserve"> GROUND WATER DEVELOPMENT IN IN PEESANGAN GW CLUSTER AJMER DISTRICT</t>
  </si>
  <si>
    <t>Area of</t>
  </si>
  <si>
    <t>Type of</t>
  </si>
  <si>
    <t>Potential</t>
  </si>
  <si>
    <t>Expected Water Level (m)</t>
  </si>
  <si>
    <t>Recommendations</t>
  </si>
  <si>
    <t>Stage of Ground Water Development %</t>
  </si>
  <si>
    <t>Area</t>
  </si>
  <si>
    <t xml:space="preserve"> zone</t>
  </si>
  <si>
    <t>Type of Well</t>
  </si>
  <si>
    <t>Dia of well</t>
  </si>
  <si>
    <t>Depth of</t>
  </si>
  <si>
    <t>Expected</t>
  </si>
  <si>
    <t>Sq.Km.</t>
  </si>
  <si>
    <t>area</t>
  </si>
  <si>
    <t>Tubewell-mm</t>
  </si>
  <si>
    <t>well</t>
  </si>
  <si>
    <t>Yield</t>
  </si>
  <si>
    <t>sq.km.</t>
  </si>
  <si>
    <t>Dugwell-m</t>
  </si>
  <si>
    <t>(m3/day)</t>
  </si>
  <si>
    <t>Non Command</t>
  </si>
  <si>
    <t>Ao</t>
  </si>
  <si>
    <t>Not recommended for future ground water development</t>
  </si>
  <si>
    <t xml:space="preserve">Total area </t>
  </si>
  <si>
    <t xml:space="preserve">Non potential </t>
  </si>
  <si>
    <t>Barren rockey</t>
  </si>
  <si>
    <t>Salt affected</t>
  </si>
  <si>
    <t xml:space="preserve">Gullied &amp; revined </t>
  </si>
  <si>
    <t>Built up</t>
  </si>
  <si>
    <t xml:space="preserve">Potential zone area </t>
  </si>
  <si>
    <t>TABLE-XI</t>
  </si>
  <si>
    <t>PROJECTED DEMAND OF WATER FOR DRINKING &amp; INDUSTRIAL USE</t>
  </si>
  <si>
    <t>IN PEESANGAN GW CLUSTER AJMER DISTRICT (mcm)</t>
  </si>
  <si>
    <t>S.No.</t>
  </si>
  <si>
    <t>Projected Demand (mcm)</t>
  </si>
  <si>
    <t xml:space="preserve">Peesangan </t>
  </si>
  <si>
    <t xml:space="preserve">PEESANGAN </t>
  </si>
  <si>
    <t>Zone-Ao</t>
  </si>
  <si>
    <t>YEAR</t>
  </si>
  <si>
    <t>ANNUAL</t>
  </si>
  <si>
    <t>MONSOON</t>
  </si>
  <si>
    <t>Annual Potential Recharge (mcm)</t>
  </si>
  <si>
    <t xml:space="preserve">Peesangan GW Cluster </t>
  </si>
  <si>
    <t>TABLE-VII:-COMPARISION OF EXTRACTION OF GROUD WATER BY DIFFERENT METHODS AND</t>
  </si>
  <si>
    <t xml:space="preserve">ACCEPTED VALUE OF IRRIGATION DRAFT IN PEESANGAN GW CLUSTER </t>
  </si>
  <si>
    <t>Area of Potential Zone (Sq.Km.)</t>
  </si>
  <si>
    <t>Average Water Levels (m)</t>
  </si>
  <si>
    <t>Specific Yield</t>
  </si>
  <si>
    <t>Decrease in Storage (mcm)</t>
  </si>
  <si>
    <t>Water Requirement by Different crops (mcm)</t>
  </si>
  <si>
    <t>Post 16</t>
  </si>
  <si>
    <t>Pre 17</t>
  </si>
  <si>
    <t>Gross</t>
  </si>
  <si>
    <t>Irrigation</t>
  </si>
  <si>
    <t>Domestic</t>
  </si>
  <si>
    <t>Peesangan</t>
  </si>
  <si>
    <t xml:space="preserve">Zaid </t>
  </si>
  <si>
    <t>Accepted Value of Draft for Irrigation (mcm)</t>
  </si>
  <si>
    <t xml:space="preserve">Crop Water Requirement as per year 2015-16 data                     </t>
  </si>
  <si>
    <t>Water Potential required (MCM )</t>
  </si>
  <si>
    <t xml:space="preserve">Pisangan GW Cluster area </t>
  </si>
  <si>
    <t>Maize</t>
  </si>
  <si>
    <t>Jawar</t>
  </si>
  <si>
    <t>Bajara</t>
  </si>
  <si>
    <t>Moong</t>
  </si>
  <si>
    <t>Ground Nut</t>
  </si>
  <si>
    <t>Cotton</t>
  </si>
  <si>
    <t>Guar</t>
  </si>
  <si>
    <t xml:space="preserve">Total Kharif Crop Water Requirement </t>
  </si>
  <si>
    <t>Wheat</t>
  </si>
  <si>
    <t>Barley</t>
  </si>
  <si>
    <t>Gram</t>
  </si>
  <si>
    <t>Mustred</t>
  </si>
  <si>
    <t>Cumin</t>
  </si>
  <si>
    <t>Tarameera</t>
  </si>
  <si>
    <t xml:space="preserve">Total Rabi Crop Water Requirement </t>
  </si>
  <si>
    <t>Zaid</t>
  </si>
  <si>
    <t xml:space="preserve">Fruit </t>
  </si>
  <si>
    <t xml:space="preserve">Vegetable </t>
  </si>
  <si>
    <t xml:space="preserve">Flowers </t>
  </si>
  <si>
    <t xml:space="preserve">Total Crop Water Requirement of Peesangan GW Cluster area </t>
  </si>
  <si>
    <t xml:space="preserve">Source- AGRICULTURE DEPARTMENT, AJMER (RAJASTHAN) -2015-16 &amp; PMKSY District Action Plan Ajmer
</t>
  </si>
  <si>
    <t>Gross Agriculture Draft*</t>
  </si>
  <si>
    <t>Note * : Peesangan Block is notified by the CGWA since 2011</t>
  </si>
  <si>
    <t>Area Sown
 (Sqm.)</t>
  </si>
  <si>
    <t>Crop water demand (in m)</t>
  </si>
  <si>
    <t>No. of Wells in use for irri</t>
  </si>
  <si>
    <t>FROM 2002 TO 2016 OF PEESANGAN GW CLUSTER AREA AJMER DISTRICT</t>
  </si>
  <si>
    <t>Months/</t>
  </si>
  <si>
    <t>MONSOON PERIOD</t>
  </si>
  <si>
    <t>NON-MONSOON PERIOD</t>
  </si>
  <si>
    <t>TOTAL</t>
  </si>
  <si>
    <t>Years</t>
  </si>
  <si>
    <t>August</t>
  </si>
  <si>
    <t>Sept.</t>
  </si>
  <si>
    <t>Oct.</t>
  </si>
  <si>
    <t>Nov.</t>
  </si>
  <si>
    <t>Dec.</t>
  </si>
  <si>
    <t>Feb.</t>
  </si>
  <si>
    <t>March</t>
  </si>
  <si>
    <t>April</t>
  </si>
  <si>
    <t>Annual</t>
  </si>
  <si>
    <t xml:space="preserve">Note: Rain Fall data available from 1957 </t>
  </si>
  <si>
    <t xml:space="preserve">Total Yearly Seepage 240 days (mcm) </t>
  </si>
  <si>
    <t>Seepage in Non-monsoon period (150 days) (mcm)</t>
  </si>
  <si>
    <t>Monsoon  Seepage 90 days (mcm)</t>
  </si>
  <si>
    <t xml:space="preserve"> Non- monsoon  Recharge from Tanks &amp; Ponds (Rt)</t>
  </si>
  <si>
    <t xml:space="preserve"> Recharge from other sources (Rgw+Rc+Rsw+Rt)</t>
  </si>
  <si>
    <t xml:space="preserve">Existing Gross Ground Water Draft for all uses </t>
  </si>
  <si>
    <t>Net Annual Ground Water Availability</t>
  </si>
  <si>
    <t xml:space="preserve">for next 25 years </t>
  </si>
  <si>
    <t xml:space="preserve">Allocation for Dom. &amp; Ind. Requirement for 2025 </t>
  </si>
  <si>
    <t>For the year 2025</t>
  </si>
  <si>
    <t>Average</t>
  </si>
  <si>
    <t>2013*</t>
  </si>
  <si>
    <t xml:space="preserve">Note: * - As per GROUND WATER POTENTIAL OF AJMER DISTRICT AS ON 31.03.2013 the Existing Gross G.W. Draft for Dom. &amp; Ind. Use of Peesangan block (Alluvium    Potential Zone (240.64 Sqm.) </t>
  </si>
  <si>
    <t>2016**</t>
  </si>
  <si>
    <t>2025***</t>
  </si>
  <si>
    <r>
      <t xml:space="preserve">Note: </t>
    </r>
    <r>
      <rPr>
        <sz val="9"/>
        <rFont val="Calibri"/>
        <family val="2"/>
      </rPr>
      <t>**</t>
    </r>
    <r>
      <rPr>
        <sz val="9"/>
        <rFont val="Times New Roman"/>
        <family val="1"/>
      </rPr>
      <t xml:space="preserve"> - As per GROUND WATER POTENTIAL OF PEESANGAN GW CLUSTER OF AJMER DISTRICT AS ON JUNE 2017 the Existing Gross G.W. Draft for Dom. &amp; Ind. Use of Peesangan block (Alluvium Potential Zone (318.25 Sqm.) </t>
    </r>
  </si>
  <si>
    <t xml:space="preserve">DGR </t>
  </si>
  <si>
    <t xml:space="preserve">Draft </t>
  </si>
  <si>
    <t xml:space="preserve">Projected Draft </t>
  </si>
  <si>
    <r>
      <t xml:space="preserve">Note: </t>
    </r>
    <r>
      <rPr>
        <sz val="9"/>
        <rFont val="Calibri"/>
        <family val="2"/>
      </rPr>
      <t>***</t>
    </r>
    <r>
      <rPr>
        <sz val="9"/>
        <rFont val="Times New Roman"/>
        <family val="1"/>
      </rPr>
      <t xml:space="preserve"> - As per Decadal Growth Rate (18.47%) of Ajmer District</t>
    </r>
  </si>
  <si>
    <t>CALCULATION FOR PROJECTED DEMAND OF WATER FOR DRINKING &amp; INDUSTRIAL USE ON THE BASIS OF DGR</t>
  </si>
  <si>
    <t>Total area of villages included in Pisangan Ground Water Cluster</t>
  </si>
  <si>
    <t>Total Area 
(Sq.Km)</t>
  </si>
  <si>
    <t>Area falling in Aquifer Boundary (%)</t>
  </si>
  <si>
    <t>Deduct 
Area
 (Sq.Km)</t>
  </si>
  <si>
    <t>Area falling
 in Aquifer Boundary
 (Sq.Km)</t>
  </si>
  <si>
    <t>Gram
 Panchayat</t>
  </si>
  <si>
    <t xml:space="preserve">Pre </t>
  </si>
  <si>
    <t>Post 16 - Pre 17</t>
  </si>
  <si>
    <t>GROUND WATER POTENTIAL OF PEESANGAN GW CLUSTER OF DISTRICT: AJMER AS ON JUNE 2017</t>
  </si>
  <si>
    <t>Average(2007-2016)</t>
  </si>
  <si>
    <t>Depl-etion 
(m)</t>
  </si>
  <si>
    <t>Potential 
Zone</t>
  </si>
  <si>
    <t>Extraction of Water 
through wells (mcm)</t>
  </si>
  <si>
    <t>NAME OF 
VILLAGE</t>
  </si>
  <si>
    <t>Cropped Area, Production and Productivity of cluster 2015-16</t>
  </si>
  <si>
    <t>Production 
(Tons)</t>
  </si>
  <si>
    <t>Productivity 
(kg/ha)</t>
  </si>
  <si>
    <t xml:space="preserve">REPORTED Yield of GW Extraction Units (Tube wells/dug wells/Dug cum bore Wells) for Irrigation, Drinking &amp; domestic purposes in Peesangan Ground water cluster </t>
  </si>
  <si>
    <t>S.No</t>
  </si>
  <si>
    <t xml:space="preserve">Name of the village </t>
  </si>
  <si>
    <t>GW Extraction Units</t>
  </si>
  <si>
    <t>Average Discharge (lph) of all units in village as Reported</t>
  </si>
  <si>
    <t>Pumping Hours per day</t>
  </si>
  <si>
    <t>Average Discharge (lpd) of all units in village as Reported</t>
  </si>
  <si>
    <t>DCBW</t>
  </si>
  <si>
    <t>DW</t>
  </si>
  <si>
    <t>TW</t>
  </si>
  <si>
    <t xml:space="preserve"> layli kheda</t>
  </si>
  <si>
    <t xml:space="preserve">Total Cluster </t>
  </si>
  <si>
    <t xml:space="preserve">   (PD)(percentage deviation)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</si>
</sst>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72" formatCode="0.0000"/>
    <numFmt numFmtId="173" formatCode="0.0"/>
    <numFmt numFmtId="174" formatCode="0.0000000"/>
    <numFmt numFmtId="178" formatCode="0.000"/>
    <numFmt numFmtId="179" formatCode="0.00_)"/>
    <numFmt numFmtId="181" formatCode="0.0000_)"/>
  </numFmts>
  <fonts count="6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Courier"/>
      <family val="3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1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8"/>
      <color indexed="56"/>
      <name val="Cambria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16"/>
      <name val="Albertus MT"/>
      <family val="1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56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9"/>
      <name val="Calibri"/>
      <family val="2"/>
    </font>
    <font>
      <sz val="8"/>
      <name val="Times New Roman"/>
      <family val="1"/>
    </font>
    <font>
      <sz val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2060"/>
      <name val="Arial"/>
      <family val="2"/>
    </font>
    <font>
      <sz val="9.5"/>
      <color rgb="FF000000"/>
      <name val="Calibri"/>
      <family val="2"/>
    </font>
    <font>
      <sz val="8"/>
      <color theme="1"/>
      <name val="Times New Roman"/>
      <family val="1"/>
    </font>
    <font>
      <b/>
      <sz val="12"/>
      <color theme="1"/>
      <name val="Cambria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9" borderId="0" applyNumberFormat="0" applyBorder="0" applyAlignment="0" applyProtection="0"/>
    <xf numFmtId="0" fontId="16" fillId="3" borderId="0" applyNumberFormat="0" applyBorder="0" applyAlignment="0" applyProtection="0"/>
    <xf numFmtId="0" fontId="20" fillId="20" borderId="1" applyNumberFormat="0" applyAlignment="0" applyProtection="0"/>
    <xf numFmtId="0" fontId="22" fillId="21" borderId="2" applyNumberFormat="0" applyAlignment="0" applyProtection="0"/>
    <xf numFmtId="43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8" fillId="7" borderId="1" applyNumberFormat="0" applyAlignment="0" applyProtection="0"/>
    <xf numFmtId="0" fontId="21" fillId="0" borderId="6" applyNumberFormat="0" applyFill="0" applyAlignment="0" applyProtection="0"/>
    <xf numFmtId="0" fontId="17" fillId="22" borderId="0" applyNumberFormat="0" applyBorder="0" applyAlignment="0" applyProtection="0"/>
    <xf numFmtId="0" fontId="9" fillId="0" borderId="0"/>
    <xf numFmtId="0" fontId="2" fillId="0" borderId="0" applyNumberFormat="0" applyFill="0" applyBorder="0" applyAlignment="0" applyProtection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2" fillId="0" borderId="0"/>
    <xf numFmtId="0" fontId="47" fillId="0" borderId="0"/>
    <xf numFmtId="0" fontId="9" fillId="0" borderId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9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531">
    <xf numFmtId="0" fontId="0" fillId="0" borderId="0" xfId="0"/>
    <xf numFmtId="0" fontId="4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/>
    </xf>
    <xf numFmtId="0" fontId="6" fillId="0" borderId="0" xfId="0" applyFont="1" applyBorder="1"/>
    <xf numFmtId="0" fontId="6" fillId="0" borderId="0" xfId="42" applyFill="1"/>
    <xf numFmtId="0" fontId="6" fillId="0" borderId="0" xfId="42" applyFill="1" applyBorder="1"/>
    <xf numFmtId="0" fontId="6" fillId="0" borderId="10" xfId="42" applyFill="1" applyBorder="1" applyAlignment="1">
      <alignment horizontal="center" vertical="top" wrapText="1"/>
    </xf>
    <xf numFmtId="0" fontId="6" fillId="0" borderId="0" xfId="42" applyFill="1" applyAlignment="1">
      <alignment vertical="top"/>
    </xf>
    <xf numFmtId="0" fontId="6" fillId="0" borderId="10" xfId="42" applyFill="1" applyBorder="1" applyAlignment="1">
      <alignment horizontal="center"/>
    </xf>
    <xf numFmtId="0" fontId="6" fillId="0" borderId="0" xfId="42" applyFill="1" applyBorder="1" applyAlignment="1">
      <alignment vertical="center"/>
    </xf>
    <xf numFmtId="0" fontId="6" fillId="0" borderId="0" xfId="42" applyFill="1" applyAlignment="1">
      <alignment vertical="center"/>
    </xf>
    <xf numFmtId="0" fontId="6" fillId="0" borderId="0" xfId="42" applyFill="1" applyAlignment="1">
      <alignment horizontal="center"/>
    </xf>
    <xf numFmtId="0" fontId="6" fillId="0" borderId="0" xfId="42" applyFill="1" applyAlignment="1">
      <alignment vertical="top" wrapText="1"/>
    </xf>
    <xf numFmtId="0" fontId="6" fillId="0" borderId="11" xfId="42" applyFill="1" applyBorder="1" applyAlignment="1">
      <alignment horizontal="center"/>
    </xf>
    <xf numFmtId="0" fontId="6" fillId="0" borderId="0" xfId="42" applyFill="1" applyBorder="1" applyAlignment="1">
      <alignment horizontal="center" vertical="top" wrapText="1"/>
    </xf>
    <xf numFmtId="0" fontId="6" fillId="0" borderId="12" xfId="42" applyFill="1" applyBorder="1" applyAlignment="1">
      <alignment horizontal="center"/>
    </xf>
    <xf numFmtId="0" fontId="6" fillId="0" borderId="0" xfId="42" applyFont="1" applyFill="1"/>
    <xf numFmtId="0" fontId="6" fillId="0" borderId="12" xfId="42" applyFill="1" applyBorder="1" applyAlignment="1">
      <alignment horizontal="center" vertical="top" wrapText="1"/>
    </xf>
    <xf numFmtId="0" fontId="6" fillId="0" borderId="0" xfId="42" applyFill="1" applyBorder="1" applyAlignment="1">
      <alignment horizontal="center" vertical="justify" wrapText="1"/>
    </xf>
    <xf numFmtId="0" fontId="6" fillId="0" borderId="10" xfId="42" applyFill="1" applyBorder="1" applyAlignment="1">
      <alignment horizontal="center" vertical="center"/>
    </xf>
    <xf numFmtId="0" fontId="6" fillId="0" borderId="10" xfId="42" applyFill="1" applyBorder="1" applyAlignment="1">
      <alignment vertical="center"/>
    </xf>
    <xf numFmtId="2" fontId="6" fillId="0" borderId="10" xfId="42" applyNumberFormat="1" applyFill="1" applyBorder="1" applyAlignment="1">
      <alignment horizontal="center" vertical="center"/>
    </xf>
    <xf numFmtId="172" fontId="6" fillId="0" borderId="10" xfId="42" applyNumberFormat="1" applyFill="1" applyBorder="1" applyAlignment="1">
      <alignment horizontal="center" vertical="center"/>
    </xf>
    <xf numFmtId="0" fontId="4" fillId="0" borderId="10" xfId="42" applyFont="1" applyFill="1" applyBorder="1" applyAlignment="1">
      <alignment vertical="top" wrapText="1"/>
    </xf>
    <xf numFmtId="0" fontId="4" fillId="0" borderId="10" xfId="42" applyFont="1" applyFill="1" applyBorder="1" applyAlignment="1">
      <alignment horizontal="center" vertical="top" wrapText="1"/>
    </xf>
    <xf numFmtId="0" fontId="4" fillId="0" borderId="0" xfId="42" applyFont="1" applyFill="1" applyAlignment="1">
      <alignment vertical="top" wrapText="1"/>
    </xf>
    <xf numFmtId="0" fontId="4" fillId="0" borderId="10" xfId="42" applyFont="1" applyFill="1" applyBorder="1" applyAlignment="1">
      <alignment horizontal="center"/>
    </xf>
    <xf numFmtId="0" fontId="4" fillId="0" borderId="10" xfId="42" applyFont="1" applyFill="1" applyBorder="1" applyAlignment="1">
      <alignment horizontal="center" vertical="center"/>
    </xf>
    <xf numFmtId="172" fontId="4" fillId="0" borderId="10" xfId="42" applyNumberFormat="1" applyFont="1" applyFill="1" applyBorder="1" applyAlignment="1">
      <alignment horizontal="center" vertical="center"/>
    </xf>
    <xf numFmtId="0" fontId="6" fillId="0" borderId="13" xfId="42" applyFill="1" applyBorder="1" applyAlignment="1">
      <alignment horizontal="center" vertical="center"/>
    </xf>
    <xf numFmtId="0" fontId="6" fillId="0" borderId="14" xfId="42" applyFill="1" applyBorder="1" applyAlignment="1">
      <alignment horizontal="center" vertical="top" wrapText="1"/>
    </xf>
    <xf numFmtId="0" fontId="6" fillId="0" borderId="15" xfId="42" applyFill="1" applyBorder="1" applyAlignment="1">
      <alignment horizontal="center" vertical="top" wrapText="1"/>
    </xf>
    <xf numFmtId="0" fontId="6" fillId="0" borderId="14" xfId="42" applyFill="1" applyBorder="1" applyAlignment="1">
      <alignment horizontal="center"/>
    </xf>
    <xf numFmtId="0" fontId="6" fillId="0" borderId="15" xfId="42" applyFill="1" applyBorder="1" applyAlignment="1">
      <alignment horizontal="center"/>
    </xf>
    <xf numFmtId="0" fontId="6" fillId="0" borderId="0" xfId="42" applyFill="1" applyAlignment="1">
      <alignment horizontal="center" vertical="center"/>
    </xf>
    <xf numFmtId="0" fontId="4" fillId="0" borderId="14" xfId="42" applyFont="1" applyFill="1" applyBorder="1" applyAlignment="1">
      <alignment vertical="top" wrapText="1"/>
    </xf>
    <xf numFmtId="0" fontId="4" fillId="0" borderId="12" xfId="42" applyFont="1" applyFill="1" applyBorder="1" applyAlignment="1">
      <alignment horizontal="center" vertical="top" wrapText="1"/>
    </xf>
    <xf numFmtId="0" fontId="4" fillId="0" borderId="12" xfId="42" applyFont="1" applyFill="1" applyBorder="1" applyAlignment="1">
      <alignment horizontal="centerContinuous" vertical="top" wrapText="1"/>
    </xf>
    <xf numFmtId="0" fontId="4" fillId="0" borderId="10" xfId="42" applyFont="1" applyFill="1" applyBorder="1" applyAlignment="1">
      <alignment horizontal="centerContinuous" vertical="top" wrapText="1"/>
    </xf>
    <xf numFmtId="0" fontId="4" fillId="0" borderId="15" xfId="42" applyFont="1" applyFill="1" applyBorder="1" applyAlignment="1">
      <alignment horizontal="centerContinuous" vertical="top" wrapText="1"/>
    </xf>
    <xf numFmtId="0" fontId="6" fillId="0" borderId="16" xfId="42" applyFill="1" applyBorder="1" applyAlignment="1">
      <alignment vertical="center"/>
    </xf>
    <xf numFmtId="2" fontId="4" fillId="0" borderId="15" xfId="42" applyNumberFormat="1" applyFont="1" applyFill="1" applyBorder="1" applyAlignment="1">
      <alignment horizontal="center" vertical="center"/>
    </xf>
    <xf numFmtId="0" fontId="6" fillId="0" borderId="0" xfId="42" applyFill="1" applyBorder="1" applyAlignment="1">
      <alignment horizontal="center" vertical="center"/>
    </xf>
    <xf numFmtId="0" fontId="0" fillId="0" borderId="0" xfId="0" applyBorder="1"/>
    <xf numFmtId="2" fontId="6" fillId="0" borderId="0" xfId="42" applyNumberFormat="1" applyFill="1" applyBorder="1" applyAlignment="1">
      <alignment horizontal="center" vertical="center"/>
    </xf>
    <xf numFmtId="172" fontId="6" fillId="0" borderId="0" xfId="42" applyNumberForma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7" fillId="0" borderId="10" xfId="42" applyFont="1" applyFill="1" applyBorder="1" applyAlignment="1">
      <alignment horizontal="center" vertical="center" wrapText="1"/>
    </xf>
    <xf numFmtId="172" fontId="6" fillId="0" borderId="0" xfId="42" applyNumberFormat="1" applyFill="1"/>
    <xf numFmtId="0" fontId="29" fillId="0" borderId="0" xfId="42" applyFont="1" applyFill="1"/>
    <xf numFmtId="0" fontId="29" fillId="0" borderId="0" xfId="42" applyFont="1" applyFill="1" applyAlignment="1">
      <alignment horizontal="center"/>
    </xf>
    <xf numFmtId="0" fontId="29" fillId="0" borderId="0" xfId="42" applyFont="1" applyFill="1" applyAlignment="1">
      <alignment horizontal="center" wrapText="1"/>
    </xf>
    <xf numFmtId="0" fontId="29" fillId="0" borderId="0" xfId="42" applyFont="1" applyFill="1" applyAlignment="1">
      <alignment horizontal="center" vertical="center"/>
    </xf>
    <xf numFmtId="0" fontId="55" fillId="0" borderId="0" xfId="45" applyFont="1" applyAlignment="1">
      <alignment vertical="center"/>
    </xf>
    <xf numFmtId="0" fontId="55" fillId="0" borderId="0" xfId="45" applyFont="1"/>
    <xf numFmtId="2" fontId="55" fillId="0" borderId="0" xfId="45" applyNumberFormat="1" applyFont="1"/>
    <xf numFmtId="0" fontId="10" fillId="0" borderId="0" xfId="45" applyFont="1" applyAlignment="1">
      <alignment horizontal="center"/>
    </xf>
    <xf numFmtId="0" fontId="10" fillId="0" borderId="0" xfId="45" applyFont="1"/>
    <xf numFmtId="0" fontId="55" fillId="0" borderId="0" xfId="45" applyFont="1" applyAlignment="1">
      <alignment horizontal="center"/>
    </xf>
    <xf numFmtId="0" fontId="7" fillId="0" borderId="0" xfId="42" applyFont="1" applyFill="1"/>
    <xf numFmtId="0" fontId="38" fillId="0" borderId="0" xfId="42" applyFont="1" applyFill="1" applyBorder="1"/>
    <xf numFmtId="2" fontId="6" fillId="0" borderId="0" xfId="42" applyNumberFormat="1" applyFill="1"/>
    <xf numFmtId="0" fontId="0" fillId="0" borderId="0" xfId="0" applyFill="1"/>
    <xf numFmtId="0" fontId="38" fillId="0" borderId="10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2" fontId="0" fillId="0" borderId="10" xfId="0" applyNumberFormat="1" applyFill="1" applyBorder="1" applyAlignment="1">
      <alignment horizontal="center" vertical="center"/>
    </xf>
    <xf numFmtId="0" fontId="38" fillId="0" borderId="0" xfId="42" applyFont="1" applyFill="1" applyBorder="1" applyProtection="1"/>
    <xf numFmtId="0" fontId="38" fillId="0" borderId="0" xfId="42" applyFont="1" applyFill="1" applyBorder="1" applyAlignment="1" applyProtection="1">
      <alignment horizontal="left"/>
    </xf>
    <xf numFmtId="0" fontId="38" fillId="0" borderId="0" xfId="42" applyFont="1" applyFill="1" applyBorder="1" applyAlignment="1" applyProtection="1">
      <alignment horizontal="center"/>
    </xf>
    <xf numFmtId="172" fontId="6" fillId="24" borderId="10" xfId="42" applyNumberFormat="1" applyFill="1" applyBorder="1" applyAlignment="1">
      <alignment horizontal="center" vertical="center"/>
    </xf>
    <xf numFmtId="0" fontId="6" fillId="0" borderId="17" xfId="42" applyFill="1" applyBorder="1" applyAlignment="1">
      <alignment horizontal="center"/>
    </xf>
    <xf numFmtId="0" fontId="6" fillId="0" borderId="18" xfId="42" applyFill="1" applyBorder="1" applyAlignment="1">
      <alignment horizontal="center"/>
    </xf>
    <xf numFmtId="0" fontId="41" fillId="0" borderId="10" xfId="40" applyFont="1" applyBorder="1"/>
    <xf numFmtId="0" fontId="41" fillId="0" borderId="19" xfId="40" applyFont="1" applyBorder="1"/>
    <xf numFmtId="0" fontId="41" fillId="0" borderId="10" xfId="40" applyFont="1" applyBorder="1" applyAlignment="1">
      <alignment horizontal="left" vertical="center"/>
    </xf>
    <xf numFmtId="2" fontId="41" fillId="0" borderId="10" xfId="40" quotePrefix="1" applyNumberFormat="1" applyFont="1" applyBorder="1" applyAlignment="1">
      <alignment horizontal="center" vertical="center"/>
    </xf>
    <xf numFmtId="2" fontId="41" fillId="0" borderId="10" xfId="40" applyNumberFormat="1" applyFont="1" applyBorder="1" applyAlignment="1">
      <alignment horizontal="center" vertical="center"/>
    </xf>
    <xf numFmtId="2" fontId="41" fillId="0" borderId="10" xfId="40" applyNumberFormat="1" applyFont="1" applyBorder="1" applyAlignment="1">
      <alignment vertical="center"/>
    </xf>
    <xf numFmtId="0" fontId="41" fillId="0" borderId="20" xfId="40" applyFont="1" applyBorder="1" applyAlignment="1">
      <alignment horizontal="center"/>
    </xf>
    <xf numFmtId="0" fontId="41" fillId="0" borderId="20" xfId="40" applyFont="1" applyBorder="1"/>
    <xf numFmtId="0" fontId="41" fillId="0" borderId="13" xfId="40" applyFont="1" applyBorder="1" applyAlignment="1">
      <alignment horizontal="center"/>
    </xf>
    <xf numFmtId="0" fontId="41" fillId="0" borderId="13" xfId="40" applyFont="1" applyBorder="1"/>
    <xf numFmtId="0" fontId="41" fillId="0" borderId="17" xfId="40" applyFont="1" applyBorder="1" applyAlignment="1">
      <alignment horizontal="center"/>
    </xf>
    <xf numFmtId="0" fontId="41" fillId="0" borderId="17" xfId="40" applyFont="1" applyBorder="1"/>
    <xf numFmtId="0" fontId="40" fillId="0" borderId="0" xfId="40" applyFont="1"/>
    <xf numFmtId="0" fontId="7" fillId="0" borderId="10" xfId="40" applyFont="1" applyFill="1" applyBorder="1" applyAlignment="1">
      <alignment horizontal="center"/>
    </xf>
    <xf numFmtId="2" fontId="2" fillId="0" borderId="10" xfId="40" applyNumberFormat="1" applyFont="1" applyFill="1" applyBorder="1" applyAlignment="1">
      <alignment horizontal="center"/>
    </xf>
    <xf numFmtId="2" fontId="2" fillId="0" borderId="10" xfId="40" applyNumberFormat="1" applyFont="1" applyFill="1" applyBorder="1" applyAlignment="1">
      <alignment horizontal="center" vertical="top" wrapText="1"/>
    </xf>
    <xf numFmtId="0" fontId="2" fillId="0" borderId="10" xfId="40" applyFont="1" applyFill="1" applyBorder="1" applyAlignment="1">
      <alignment horizontal="center" vertical="center" wrapText="1"/>
    </xf>
    <xf numFmtId="0" fontId="2" fillId="0" borderId="0" xfId="40"/>
    <xf numFmtId="0" fontId="2" fillId="0" borderId="0" xfId="40" applyAlignment="1">
      <alignment horizontal="center"/>
    </xf>
    <xf numFmtId="0" fontId="2" fillId="0" borderId="0" xfId="40" applyFill="1"/>
    <xf numFmtId="0" fontId="7" fillId="0" borderId="0" xfId="40" applyFont="1" applyFill="1" applyAlignment="1">
      <alignment horizontal="center"/>
    </xf>
    <xf numFmtId="2" fontId="2" fillId="0" borderId="0" xfId="40" applyNumberFormat="1" applyAlignment="1">
      <alignment horizontal="center"/>
    </xf>
    <xf numFmtId="2" fontId="2" fillId="0" borderId="0" xfId="40" applyNumberFormat="1" applyFill="1" applyAlignment="1">
      <alignment horizontal="center"/>
    </xf>
    <xf numFmtId="2" fontId="7" fillId="0" borderId="0" xfId="40" applyNumberFormat="1" applyFont="1" applyFill="1" applyAlignment="1">
      <alignment horizontal="center"/>
    </xf>
    <xf numFmtId="0" fontId="2" fillId="0" borderId="0" xfId="40" applyFont="1" applyFill="1"/>
    <xf numFmtId="0" fontId="2" fillId="0" borderId="21" xfId="40" applyFont="1" applyFill="1" applyBorder="1"/>
    <xf numFmtId="0" fontId="2" fillId="0" borderId="10" xfId="40" applyFont="1" applyFill="1" applyBorder="1" applyAlignment="1">
      <alignment horizontal="center" vertical="top"/>
    </xf>
    <xf numFmtId="0" fontId="2" fillId="0" borderId="10" xfId="40" applyFont="1" applyFill="1" applyBorder="1" applyAlignment="1">
      <alignment horizontal="centerContinuous" vertical="top" wrapText="1"/>
    </xf>
    <xf numFmtId="0" fontId="2" fillId="0" borderId="10" xfId="40" applyFont="1" applyFill="1" applyBorder="1"/>
    <xf numFmtId="0" fontId="2" fillId="0" borderId="10" xfId="40" applyFont="1" applyFill="1" applyBorder="1" applyAlignment="1">
      <alignment horizontal="center"/>
    </xf>
    <xf numFmtId="0" fontId="2" fillId="0" borderId="22" xfId="40" applyFont="1" applyFill="1" applyBorder="1" applyAlignment="1">
      <alignment horizontal="center"/>
    </xf>
    <xf numFmtId="0" fontId="7" fillId="0" borderId="23" xfId="40" applyFont="1" applyFill="1" applyBorder="1" applyAlignment="1">
      <alignment horizontal="center"/>
    </xf>
    <xf numFmtId="0" fontId="7" fillId="0" borderId="24" xfId="40" applyFont="1" applyFill="1" applyBorder="1" applyAlignment="1">
      <alignment horizontal="center"/>
    </xf>
    <xf numFmtId="2" fontId="7" fillId="0" borderId="12" xfId="40" applyNumberFormat="1" applyFont="1" applyFill="1" applyBorder="1" applyAlignment="1">
      <alignment horizontal="center"/>
    </xf>
    <xf numFmtId="0" fontId="2" fillId="0" borderId="25" xfId="40" applyFont="1" applyFill="1" applyBorder="1" applyAlignment="1">
      <alignment horizontal="center"/>
    </xf>
    <xf numFmtId="0" fontId="2" fillId="0" borderId="0" xfId="40" applyFont="1" applyFill="1" applyAlignment="1">
      <alignment horizontal="center"/>
    </xf>
    <xf numFmtId="2" fontId="7" fillId="0" borderId="15" xfId="40" applyNumberFormat="1" applyFont="1" applyFill="1" applyBorder="1" applyAlignment="1">
      <alignment horizontal="center"/>
    </xf>
    <xf numFmtId="0" fontId="41" fillId="0" borderId="0" xfId="40" applyFont="1"/>
    <xf numFmtId="0" fontId="2" fillId="0" borderId="10" xfId="40" applyBorder="1" applyAlignment="1">
      <alignment horizontal="center" vertical="center"/>
    </xf>
    <xf numFmtId="0" fontId="7" fillId="0" borderId="10" xfId="40" applyFont="1" applyFill="1" applyBorder="1" applyAlignment="1">
      <alignment horizontal="center" vertical="center"/>
    </xf>
    <xf numFmtId="2" fontId="41" fillId="0" borderId="0" xfId="40" applyNumberFormat="1" applyFont="1"/>
    <xf numFmtId="0" fontId="44" fillId="0" borderId="0" xfId="40" applyFont="1"/>
    <xf numFmtId="0" fontId="45" fillId="0" borderId="0" xfId="40" applyFont="1"/>
    <xf numFmtId="0" fontId="44" fillId="0" borderId="10" xfId="40" applyFont="1" applyBorder="1" applyAlignment="1">
      <alignment horizontal="center"/>
    </xf>
    <xf numFmtId="0" fontId="44" fillId="0" borderId="10" xfId="40" applyFont="1" applyBorder="1"/>
    <xf numFmtId="0" fontId="44" fillId="0" borderId="15" xfId="40" applyFont="1" applyBorder="1"/>
    <xf numFmtId="0" fontId="44" fillId="0" borderId="20" xfId="40" applyFont="1" applyBorder="1"/>
    <xf numFmtId="0" fontId="44" fillId="0" borderId="26" xfId="40" applyFont="1" applyBorder="1"/>
    <xf numFmtId="0" fontId="44" fillId="0" borderId="26" xfId="40" applyFont="1" applyBorder="1" applyAlignment="1">
      <alignment horizontal="center"/>
    </xf>
    <xf numFmtId="2" fontId="44" fillId="0" borderId="26" xfId="40" applyNumberFormat="1" applyFont="1" applyBorder="1" applyAlignment="1">
      <alignment horizontal="center"/>
    </xf>
    <xf numFmtId="172" fontId="44" fillId="0" borderId="26" xfId="40" applyNumberFormat="1" applyFont="1" applyBorder="1" applyAlignment="1">
      <alignment horizontal="center"/>
    </xf>
    <xf numFmtId="172" fontId="45" fillId="0" borderId="26" xfId="40" applyNumberFormat="1" applyFont="1" applyBorder="1" applyAlignment="1">
      <alignment horizontal="center"/>
    </xf>
    <xf numFmtId="0" fontId="56" fillId="25" borderId="10" xfId="40" applyFont="1" applyFill="1" applyBorder="1" applyAlignment="1">
      <alignment horizontal="center" vertical="center"/>
    </xf>
    <xf numFmtId="0" fontId="2" fillId="26" borderId="10" xfId="40" applyFont="1" applyFill="1" applyBorder="1" applyAlignment="1">
      <alignment horizontal="center" vertical="center"/>
    </xf>
    <xf numFmtId="2" fontId="2" fillId="0" borderId="10" xfId="40" applyNumberFormat="1" applyBorder="1" applyAlignment="1">
      <alignment horizontal="center" vertical="center"/>
    </xf>
    <xf numFmtId="0" fontId="28" fillId="0" borderId="18" xfId="0" applyFont="1" applyBorder="1" applyAlignment="1">
      <alignment horizontal="center" vertical="top" wrapText="1"/>
    </xf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Fill="1" applyAlignment="1">
      <alignment vertical="top"/>
    </xf>
    <xf numFmtId="0" fontId="41" fillId="0" borderId="0" xfId="0" applyFont="1" applyAlignment="1" applyProtection="1">
      <alignment horizontal="fill"/>
    </xf>
    <xf numFmtId="2" fontId="41" fillId="0" borderId="0" xfId="0" applyNumberFormat="1" applyFont="1" applyAlignment="1" applyProtection="1">
      <alignment horizontal="fill"/>
    </xf>
    <xf numFmtId="0" fontId="41" fillId="0" borderId="17" xfId="0" applyFont="1" applyBorder="1" applyAlignment="1" applyProtection="1">
      <alignment horizontal="center" vertical="top" wrapText="1"/>
    </xf>
    <xf numFmtId="0" fontId="41" fillId="0" borderId="20" xfId="0" applyFont="1" applyBorder="1" applyAlignment="1">
      <alignment horizontal="center"/>
    </xf>
    <xf numFmtId="0" fontId="41" fillId="0" borderId="20" xfId="0" applyFont="1" applyBorder="1" applyAlignment="1" applyProtection="1">
      <alignment horizontal="center"/>
    </xf>
    <xf numFmtId="2" fontId="41" fillId="0" borderId="10" xfId="0" applyNumberFormat="1" applyFont="1" applyBorder="1" applyAlignment="1" applyProtection="1">
      <alignment horizontal="center"/>
    </xf>
    <xf numFmtId="0" fontId="41" fillId="0" borderId="10" xfId="0" applyFont="1" applyBorder="1" applyAlignment="1" applyProtection="1">
      <alignment horizontal="center"/>
    </xf>
    <xf numFmtId="0" fontId="41" fillId="0" borderId="10" xfId="0" applyFont="1" applyBorder="1" applyAlignment="1">
      <alignment horizontal="center"/>
    </xf>
    <xf numFmtId="0" fontId="41" fillId="0" borderId="27" xfId="0" applyFont="1" applyBorder="1"/>
    <xf numFmtId="0" fontId="41" fillId="0" borderId="0" xfId="0" applyFont="1" applyBorder="1"/>
    <xf numFmtId="0" fontId="41" fillId="0" borderId="0" xfId="0" applyFont="1" applyBorder="1" applyAlignment="1" applyProtection="1">
      <alignment horizontal="left"/>
    </xf>
    <xf numFmtId="2" fontId="41" fillId="0" borderId="0" xfId="0" applyNumberFormat="1" applyFont="1" applyBorder="1"/>
    <xf numFmtId="0" fontId="41" fillId="0" borderId="28" xfId="0" applyFont="1" applyBorder="1" applyAlignment="1" applyProtection="1">
      <alignment horizontal="left"/>
    </xf>
    <xf numFmtId="0" fontId="41" fillId="0" borderId="10" xfId="0" applyFont="1" applyBorder="1"/>
    <xf numFmtId="0" fontId="40" fillId="0" borderId="20" xfId="0" applyFont="1" applyBorder="1" applyAlignment="1">
      <alignment horizontal="center" vertical="center" wrapText="1"/>
    </xf>
    <xf numFmtId="0" fontId="40" fillId="0" borderId="10" xfId="0" applyFont="1" applyBorder="1" applyAlignment="1">
      <alignment vertical="center" wrapText="1"/>
    </xf>
    <xf numFmtId="0" fontId="40" fillId="0" borderId="10" xfId="0" applyFont="1" applyFill="1" applyBorder="1" applyAlignment="1">
      <alignment vertical="center" wrapText="1"/>
    </xf>
    <xf numFmtId="0" fontId="40" fillId="0" borderId="14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6" fillId="0" borderId="14" xfId="0" applyFont="1" applyBorder="1" applyAlignment="1"/>
    <xf numFmtId="0" fontId="46" fillId="0" borderId="12" xfId="0" applyFont="1" applyBorder="1" applyAlignment="1"/>
    <xf numFmtId="172" fontId="41" fillId="0" borderId="10" xfId="0" applyNumberFormat="1" applyFont="1" applyBorder="1" applyAlignment="1">
      <alignment horizontal="center" vertical="center"/>
    </xf>
    <xf numFmtId="172" fontId="41" fillId="0" borderId="10" xfId="0" applyNumberFormat="1" applyFont="1" applyFill="1" applyBorder="1" applyAlignment="1">
      <alignment horizontal="center" vertical="center"/>
    </xf>
    <xf numFmtId="0" fontId="38" fillId="0" borderId="17" xfId="42" applyFont="1" applyFill="1" applyBorder="1" applyProtection="1"/>
    <xf numFmtId="0" fontId="38" fillId="0" borderId="17" xfId="42" applyFont="1" applyFill="1" applyBorder="1" applyAlignment="1" applyProtection="1">
      <alignment horizontal="center"/>
    </xf>
    <xf numFmtId="181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172" fontId="28" fillId="0" borderId="10" xfId="0" applyNumberFormat="1" applyFont="1" applyBorder="1" applyAlignment="1">
      <alignment horizontal="center" vertical="center" wrapText="1"/>
    </xf>
    <xf numFmtId="181" fontId="6" fillId="0" borderId="10" xfId="42" applyNumberFormat="1" applyFill="1" applyBorder="1" applyAlignment="1">
      <alignment horizontal="center" vertical="center"/>
    </xf>
    <xf numFmtId="0" fontId="6" fillId="0" borderId="0" xfId="42" applyFont="1" applyFill="1" applyAlignment="1">
      <alignment horizontal="center" vertical="center"/>
    </xf>
    <xf numFmtId="0" fontId="6" fillId="0" borderId="10" xfId="42" applyFont="1" applyFill="1" applyBorder="1" applyAlignment="1">
      <alignment horizontal="center" vertical="center" wrapText="1"/>
    </xf>
    <xf numFmtId="179" fontId="0" fillId="0" borderId="10" xfId="0" applyNumberFormat="1" applyFont="1" applyFill="1" applyBorder="1" applyAlignment="1" applyProtection="1">
      <alignment horizontal="center" vertical="center" wrapText="1"/>
    </xf>
    <xf numFmtId="179" fontId="6" fillId="0" borderId="10" xfId="42" applyNumberFormat="1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0" fontId="6" fillId="0" borderId="10" xfId="42" applyFill="1" applyBorder="1" applyAlignment="1">
      <alignment horizontal="center" vertical="center" wrapText="1"/>
    </xf>
    <xf numFmtId="181" fontId="6" fillId="0" borderId="10" xfId="42" applyNumberFormat="1" applyFill="1" applyBorder="1" applyAlignment="1">
      <alignment horizontal="center" vertical="center" wrapText="1"/>
    </xf>
    <xf numFmtId="179" fontId="6" fillId="0" borderId="10" xfId="42" applyNumberFormat="1" applyFill="1" applyBorder="1" applyAlignment="1">
      <alignment horizontal="center" vertical="center" wrapText="1"/>
    </xf>
    <xf numFmtId="0" fontId="2" fillId="0" borderId="0" xfId="42" applyFont="1" applyFill="1"/>
    <xf numFmtId="178" fontId="41" fillId="0" borderId="10" xfId="0" applyNumberFormat="1" applyFont="1" applyBorder="1"/>
    <xf numFmtId="178" fontId="41" fillId="0" borderId="10" xfId="0" applyNumberFormat="1" applyFont="1" applyBorder="1" applyAlignment="1">
      <alignment horizontal="right"/>
    </xf>
    <xf numFmtId="178" fontId="46" fillId="0" borderId="12" xfId="0" applyNumberFormat="1" applyFont="1" applyBorder="1" applyAlignment="1"/>
    <xf numFmtId="2" fontId="40" fillId="0" borderId="10" xfId="0" applyNumberFormat="1" applyFont="1" applyBorder="1"/>
    <xf numFmtId="2" fontId="40" fillId="0" borderId="10" xfId="0" applyNumberFormat="1" applyFont="1" applyBorder="1" applyAlignment="1">
      <alignment vertical="center"/>
    </xf>
    <xf numFmtId="172" fontId="6" fillId="0" borderId="10" xfId="42" applyNumberFormat="1" applyFill="1" applyBorder="1"/>
    <xf numFmtId="178" fontId="6" fillId="0" borderId="28" xfId="42" applyNumberFormat="1" applyFill="1" applyBorder="1" applyAlignment="1">
      <alignment horizontal="center" vertical="center"/>
    </xf>
    <xf numFmtId="178" fontId="6" fillId="0" borderId="15" xfId="42" applyNumberFormat="1" applyFill="1" applyBorder="1" applyAlignment="1">
      <alignment horizontal="center" vertical="center"/>
    </xf>
    <xf numFmtId="178" fontId="6" fillId="0" borderId="29" xfId="42" applyNumberFormat="1" applyFill="1" applyBorder="1" applyAlignment="1">
      <alignment horizontal="center" vertical="center"/>
    </xf>
    <xf numFmtId="178" fontId="6" fillId="0" borderId="30" xfId="42" applyNumberFormat="1" applyFill="1" applyBorder="1" applyAlignment="1">
      <alignment horizontal="center" vertical="center"/>
    </xf>
    <xf numFmtId="178" fontId="6" fillId="0" borderId="31" xfId="42" applyNumberFormat="1" applyFill="1" applyBorder="1" applyAlignment="1">
      <alignment horizontal="center" vertical="center"/>
    </xf>
    <xf numFmtId="178" fontId="6" fillId="0" borderId="32" xfId="42" applyNumberFormat="1" applyFill="1" applyBorder="1" applyAlignment="1">
      <alignment horizontal="center" vertical="center"/>
    </xf>
    <xf numFmtId="178" fontId="6" fillId="0" borderId="33" xfId="42" applyNumberFormat="1" applyFill="1" applyBorder="1" applyAlignment="1">
      <alignment horizontal="center" vertical="center"/>
    </xf>
    <xf numFmtId="0" fontId="2" fillId="0" borderId="12" xfId="42" applyFont="1" applyFill="1" applyBorder="1" applyAlignment="1">
      <alignment horizontal="center" vertical="top" wrapText="1"/>
    </xf>
    <xf numFmtId="0" fontId="47" fillId="0" borderId="0" xfId="47"/>
    <xf numFmtId="172" fontId="4" fillId="0" borderId="15" xfId="42" applyNumberFormat="1" applyFont="1" applyFill="1" applyBorder="1" applyAlignment="1">
      <alignment horizontal="center" vertical="center"/>
    </xf>
    <xf numFmtId="172" fontId="6" fillId="0" borderId="10" xfId="42" applyNumberFormat="1" applyFill="1" applyBorder="1" applyAlignment="1">
      <alignment horizontal="center" vertical="center" wrapText="1"/>
    </xf>
    <xf numFmtId="172" fontId="0" fillId="0" borderId="10" xfId="0" applyNumberFormat="1" applyFont="1" applyFill="1" applyBorder="1" applyAlignment="1" applyProtection="1">
      <alignment horizontal="center" vertical="center" wrapText="1"/>
    </xf>
    <xf numFmtId="178" fontId="44" fillId="0" borderId="10" xfId="40" applyNumberFormat="1" applyFont="1" applyBorder="1"/>
    <xf numFmtId="0" fontId="2" fillId="0" borderId="0" xfId="40" applyAlignment="1">
      <alignment vertical="center"/>
    </xf>
    <xf numFmtId="0" fontId="44" fillId="0" borderId="10" xfId="40" applyFont="1" applyBorder="1" applyAlignment="1">
      <alignment horizontal="center" vertical="center"/>
    </xf>
    <xf numFmtId="10" fontId="0" fillId="0" borderId="0" xfId="0" applyNumberFormat="1"/>
    <xf numFmtId="0" fontId="0" fillId="0" borderId="10" xfId="0" applyBorder="1" applyAlignment="1">
      <alignment horizontal="center" vertical="center"/>
    </xf>
    <xf numFmtId="0" fontId="54" fillId="0" borderId="34" xfId="0" applyFont="1" applyBorder="1" applyAlignment="1">
      <alignment horizontal="center" vertical="center"/>
    </xf>
    <xf numFmtId="10" fontId="54" fillId="0" borderId="35" xfId="0" applyNumberFormat="1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/>
    </xf>
    <xf numFmtId="0" fontId="54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0" fillId="0" borderId="20" xfId="40" applyFont="1" applyBorder="1" applyAlignment="1">
      <alignment vertical="center"/>
    </xf>
    <xf numFmtId="0" fontId="40" fillId="0" borderId="20" xfId="40" applyFont="1" applyBorder="1" applyAlignment="1">
      <alignment horizontal="center" vertical="center"/>
    </xf>
    <xf numFmtId="0" fontId="40" fillId="0" borderId="20" xfId="40" applyFont="1" applyBorder="1" applyAlignment="1">
      <alignment horizontal="left" vertical="center"/>
    </xf>
    <xf numFmtId="2" fontId="40" fillId="0" borderId="20" xfId="40" applyNumberFormat="1" applyFont="1" applyBorder="1" applyAlignment="1">
      <alignment horizontal="center" vertical="center"/>
    </xf>
    <xf numFmtId="0" fontId="41" fillId="0" borderId="10" xfId="40" applyFont="1" applyBorder="1" applyAlignment="1">
      <alignment vertical="center"/>
    </xf>
    <xf numFmtId="0" fontId="34" fillId="0" borderId="45" xfId="45" applyFont="1" applyFill="1" applyBorder="1" applyAlignment="1">
      <alignment horizontal="center" vertical="center"/>
    </xf>
    <xf numFmtId="0" fontId="34" fillId="0" borderId="46" xfId="45" applyFont="1" applyFill="1" applyBorder="1" applyAlignment="1">
      <alignment horizontal="center" vertical="center" wrapText="1"/>
    </xf>
    <xf numFmtId="173" fontId="55" fillId="0" borderId="47" xfId="45" applyNumberFormat="1" applyFont="1" applyBorder="1" applyAlignment="1">
      <alignment horizontal="center" vertical="center"/>
    </xf>
    <xf numFmtId="173" fontId="55" fillId="0" borderId="48" xfId="45" applyNumberFormat="1" applyFont="1" applyBorder="1" applyAlignment="1">
      <alignment horizontal="center" vertical="center"/>
    </xf>
    <xf numFmtId="173" fontId="55" fillId="0" borderId="49" xfId="45" applyNumberFormat="1" applyFont="1" applyBorder="1" applyAlignment="1">
      <alignment horizontal="center" vertical="center"/>
    </xf>
    <xf numFmtId="0" fontId="34" fillId="0" borderId="45" xfId="45" applyFont="1" applyFill="1" applyBorder="1" applyAlignment="1">
      <alignment horizontal="center" vertical="center" wrapText="1"/>
    </xf>
    <xf numFmtId="2" fontId="32" fillId="0" borderId="50" xfId="45" applyNumberFormat="1" applyFont="1" applyFill="1" applyBorder="1" applyAlignment="1" applyProtection="1">
      <alignment horizontal="center"/>
    </xf>
    <xf numFmtId="2" fontId="32" fillId="0" borderId="51" xfId="45" applyNumberFormat="1" applyFont="1" applyFill="1" applyBorder="1" applyAlignment="1" applyProtection="1">
      <alignment horizontal="center"/>
    </xf>
    <xf numFmtId="2" fontId="32" fillId="0" borderId="52" xfId="45" applyNumberFormat="1" applyFont="1" applyFill="1" applyBorder="1" applyAlignment="1" applyProtection="1">
      <alignment horizontal="center"/>
    </xf>
    <xf numFmtId="2" fontId="36" fillId="0" borderId="53" xfId="45" applyNumberFormat="1" applyFont="1" applyFill="1" applyBorder="1" applyAlignment="1">
      <alignment horizontal="center"/>
    </xf>
    <xf numFmtId="2" fontId="35" fillId="0" borderId="50" xfId="45" applyNumberFormat="1" applyFont="1" applyFill="1" applyBorder="1" applyAlignment="1">
      <alignment horizontal="center"/>
    </xf>
    <xf numFmtId="2" fontId="35" fillId="0" borderId="51" xfId="45" applyNumberFormat="1" applyFont="1" applyFill="1" applyBorder="1" applyAlignment="1">
      <alignment horizontal="center"/>
    </xf>
    <xf numFmtId="0" fontId="35" fillId="0" borderId="52" xfId="45" applyFont="1" applyFill="1" applyBorder="1" applyAlignment="1">
      <alignment horizontal="center"/>
    </xf>
    <xf numFmtId="2" fontId="35" fillId="0" borderId="52" xfId="45" applyNumberFormat="1" applyFont="1" applyFill="1" applyBorder="1" applyAlignment="1">
      <alignment horizontal="center"/>
    </xf>
    <xf numFmtId="0" fontId="57" fillId="0" borderId="50" xfId="45" applyFont="1" applyFill="1" applyBorder="1"/>
    <xf numFmtId="0" fontId="57" fillId="0" borderId="51" xfId="45" applyFont="1" applyFill="1" applyBorder="1"/>
    <xf numFmtId="0" fontId="35" fillId="0" borderId="52" xfId="45" applyFont="1" applyFill="1" applyBorder="1"/>
    <xf numFmtId="0" fontId="34" fillId="0" borderId="54" xfId="45" applyFont="1" applyFill="1" applyBorder="1" applyAlignment="1">
      <alignment horizontal="center" vertical="center"/>
    </xf>
    <xf numFmtId="0" fontId="35" fillId="0" borderId="55" xfId="45" applyFont="1" applyFill="1" applyBorder="1" applyAlignment="1">
      <alignment horizontal="center"/>
    </xf>
    <xf numFmtId="0" fontId="35" fillId="0" borderId="56" xfId="45" applyFont="1" applyFill="1" applyBorder="1" applyAlignment="1">
      <alignment horizontal="center"/>
    </xf>
    <xf numFmtId="0" fontId="35" fillId="0" borderId="57" xfId="45" applyFont="1" applyFill="1" applyBorder="1" applyAlignment="1">
      <alignment horizontal="center"/>
    </xf>
    <xf numFmtId="0" fontId="35" fillId="0" borderId="50" xfId="45" applyFont="1" applyFill="1" applyBorder="1"/>
    <xf numFmtId="0" fontId="35" fillId="0" borderId="51" xfId="45" applyFont="1" applyFill="1" applyBorder="1"/>
    <xf numFmtId="0" fontId="5" fillId="0" borderId="0" xfId="40" applyFont="1" applyFill="1"/>
    <xf numFmtId="0" fontId="4" fillId="0" borderId="0" xfId="40" applyFont="1" applyFill="1"/>
    <xf numFmtId="0" fontId="4" fillId="0" borderId="0" xfId="40" applyFont="1" applyFill="1" applyAlignment="1">
      <alignment horizontal="center"/>
    </xf>
    <xf numFmtId="0" fontId="4" fillId="0" borderId="0" xfId="40" applyFont="1" applyFill="1" applyAlignment="1">
      <alignment horizontal="center" wrapText="1"/>
    </xf>
    <xf numFmtId="0" fontId="4" fillId="0" borderId="0" xfId="40" applyFont="1" applyFill="1" applyAlignment="1">
      <alignment horizontal="center" vertical="center"/>
    </xf>
    <xf numFmtId="2" fontId="4" fillId="0" borderId="0" xfId="40" applyNumberFormat="1" applyFont="1" applyFill="1"/>
    <xf numFmtId="2" fontId="49" fillId="0" borderId="20" xfId="48" applyNumberFormat="1" applyFont="1" applyFill="1" applyBorder="1" applyAlignment="1">
      <alignment horizontal="center" vertical="center"/>
    </xf>
    <xf numFmtId="2" fontId="49" fillId="0" borderId="10" xfId="48" applyNumberFormat="1" applyFont="1" applyFill="1" applyBorder="1" applyAlignment="1">
      <alignment horizontal="center" vertical="center"/>
    </xf>
    <xf numFmtId="0" fontId="49" fillId="0" borderId="10" xfId="46" applyFont="1" applyFill="1" applyBorder="1" applyAlignment="1">
      <alignment horizontal="center" vertical="center"/>
    </xf>
    <xf numFmtId="0" fontId="50" fillId="0" borderId="10" xfId="40" applyFont="1" applyFill="1" applyBorder="1" applyAlignment="1">
      <alignment horizontal="center" vertical="center"/>
    </xf>
    <xf numFmtId="0" fontId="49" fillId="0" borderId="20" xfId="48" applyFont="1" applyFill="1" applyBorder="1" applyAlignment="1" applyProtection="1">
      <alignment horizontal="center" vertical="center"/>
    </xf>
    <xf numFmtId="2" fontId="49" fillId="0" borderId="20" xfId="48" applyNumberFormat="1" applyFont="1" applyFill="1" applyBorder="1" applyAlignment="1">
      <alignment horizontal="center" vertical="center" wrapText="1"/>
    </xf>
    <xf numFmtId="2" fontId="49" fillId="0" borderId="20" xfId="40" applyNumberFormat="1" applyFont="1" applyFill="1" applyBorder="1" applyAlignment="1">
      <alignment horizontal="center" vertical="center"/>
    </xf>
    <xf numFmtId="2" fontId="49" fillId="0" borderId="20" xfId="40" applyNumberFormat="1" applyFont="1" applyFill="1" applyBorder="1" applyAlignment="1" applyProtection="1">
      <alignment horizontal="center" vertical="center"/>
    </xf>
    <xf numFmtId="2" fontId="49" fillId="0" borderId="20" xfId="38" applyNumberFormat="1" applyFont="1" applyFill="1" applyBorder="1" applyAlignment="1" applyProtection="1">
      <alignment horizontal="center" vertical="center" shrinkToFit="1"/>
    </xf>
    <xf numFmtId="2" fontId="49" fillId="0" borderId="20" xfId="38" applyNumberFormat="1" applyFont="1" applyFill="1" applyBorder="1" applyAlignment="1">
      <alignment horizontal="center" vertical="center"/>
    </xf>
    <xf numFmtId="0" fontId="50" fillId="0" borderId="20" xfId="40" applyFont="1" applyFill="1" applyBorder="1" applyAlignment="1">
      <alignment vertical="center"/>
    </xf>
    <xf numFmtId="0" fontId="50" fillId="0" borderId="0" xfId="40" applyFont="1" applyFill="1" applyAlignment="1">
      <alignment vertical="center"/>
    </xf>
    <xf numFmtId="0" fontId="49" fillId="0" borderId="10" xfId="48" applyFont="1" applyFill="1" applyBorder="1" applyAlignment="1" applyProtection="1">
      <alignment horizontal="center" vertical="center"/>
    </xf>
    <xf numFmtId="2" fontId="49" fillId="0" borderId="10" xfId="48" applyNumberFormat="1" applyFont="1" applyFill="1" applyBorder="1" applyAlignment="1">
      <alignment horizontal="center" vertical="center" wrapText="1"/>
    </xf>
    <xf numFmtId="1" fontId="49" fillId="0" borderId="10" xfId="48" applyNumberFormat="1" applyFont="1" applyFill="1" applyBorder="1" applyAlignment="1">
      <alignment horizontal="center" vertical="center"/>
    </xf>
    <xf numFmtId="2" fontId="58" fillId="0" borderId="10" xfId="41" applyNumberFormat="1" applyFont="1" applyBorder="1" applyAlignment="1">
      <alignment horizontal="center" vertical="center" shrinkToFit="1"/>
    </xf>
    <xf numFmtId="0" fontId="58" fillId="0" borderId="10" xfId="41" applyFont="1" applyBorder="1" applyAlignment="1">
      <alignment horizontal="center" vertical="center"/>
    </xf>
    <xf numFmtId="2" fontId="49" fillId="0" borderId="10" xfId="40" applyNumberFormat="1" applyFont="1" applyFill="1" applyBorder="1" applyAlignment="1" applyProtection="1">
      <alignment horizontal="center" vertical="center"/>
    </xf>
    <xf numFmtId="2" fontId="49" fillId="0" borderId="10" xfId="40" applyNumberFormat="1" applyFont="1" applyFill="1" applyBorder="1" applyAlignment="1">
      <alignment horizontal="center" vertical="center"/>
    </xf>
    <xf numFmtId="2" fontId="49" fillId="0" borderId="10" xfId="38" applyNumberFormat="1" applyFont="1" applyFill="1" applyBorder="1" applyAlignment="1" applyProtection="1">
      <alignment horizontal="center" vertical="center" shrinkToFit="1"/>
    </xf>
    <xf numFmtId="2" fontId="49" fillId="0" borderId="10" xfId="38" applyNumberFormat="1" applyFont="1" applyFill="1" applyBorder="1" applyAlignment="1">
      <alignment horizontal="center" vertical="center"/>
    </xf>
    <xf numFmtId="0" fontId="50" fillId="0" borderId="10" xfId="40" applyFont="1" applyFill="1" applyBorder="1" applyAlignment="1">
      <alignment vertical="center"/>
    </xf>
    <xf numFmtId="0" fontId="49" fillId="0" borderId="10" xfId="38" applyNumberFormat="1" applyFont="1" applyFill="1" applyBorder="1" applyAlignment="1">
      <alignment horizontal="center" vertical="center"/>
    </xf>
    <xf numFmtId="49" fontId="49" fillId="0" borderId="10" xfId="38" applyNumberFormat="1" applyFont="1" applyFill="1" applyBorder="1" applyAlignment="1">
      <alignment horizontal="center" vertical="center"/>
    </xf>
    <xf numFmtId="0" fontId="49" fillId="0" borderId="10" xfId="40" applyFont="1" applyFill="1" applyBorder="1" applyAlignment="1">
      <alignment horizontal="center" vertical="center" wrapText="1"/>
    </xf>
    <xf numFmtId="49" fontId="49" fillId="0" borderId="10" xfId="40" applyNumberFormat="1" applyFont="1" applyFill="1" applyBorder="1" applyAlignment="1">
      <alignment horizontal="center" vertical="center" wrapText="1"/>
    </xf>
    <xf numFmtId="0" fontId="49" fillId="0" borderId="10" xfId="48" applyFont="1" applyFill="1" applyBorder="1" applyAlignment="1">
      <alignment horizontal="center" vertical="center"/>
    </xf>
    <xf numFmtId="2" fontId="50" fillId="0" borderId="10" xfId="40" applyNumberFormat="1" applyFont="1" applyFill="1" applyBorder="1" applyAlignment="1">
      <alignment horizontal="center" vertical="center"/>
    </xf>
    <xf numFmtId="2" fontId="50" fillId="0" borderId="0" xfId="40" applyNumberFormat="1" applyFont="1" applyFill="1" applyAlignment="1">
      <alignment vertical="center"/>
    </xf>
    <xf numFmtId="0" fontId="41" fillId="0" borderId="10" xfId="0" applyFont="1" applyFill="1" applyBorder="1" applyAlignment="1">
      <alignment horizontal="center"/>
    </xf>
    <xf numFmtId="0" fontId="41" fillId="0" borderId="10" xfId="0" applyFont="1" applyFill="1" applyBorder="1"/>
    <xf numFmtId="2" fontId="41" fillId="0" borderId="10" xfId="0" applyNumberFormat="1" applyFont="1" applyFill="1" applyBorder="1" applyAlignment="1">
      <alignment horizontal="center"/>
    </xf>
    <xf numFmtId="179" fontId="41" fillId="0" borderId="10" xfId="0" applyNumberFormat="1" applyFont="1" applyFill="1" applyBorder="1" applyAlignment="1" applyProtection="1">
      <alignment horizontal="center"/>
    </xf>
    <xf numFmtId="181" fontId="41" fillId="0" borderId="10" xfId="0" applyNumberFormat="1" applyFont="1" applyFill="1" applyBorder="1" applyAlignment="1" applyProtection="1">
      <alignment horizontal="center"/>
    </xf>
    <xf numFmtId="178" fontId="41" fillId="0" borderId="10" xfId="0" applyNumberFormat="1" applyFont="1" applyFill="1" applyBorder="1" applyAlignment="1">
      <alignment horizontal="center"/>
    </xf>
    <xf numFmtId="178" fontId="41" fillId="0" borderId="10" xfId="0" applyNumberFormat="1" applyFont="1" applyFill="1" applyBorder="1" applyAlignment="1" applyProtection="1">
      <alignment horizontal="center"/>
    </xf>
    <xf numFmtId="172" fontId="41" fillId="0" borderId="10" xfId="0" applyNumberFormat="1" applyFont="1" applyFill="1" applyBorder="1" applyAlignment="1" applyProtection="1">
      <alignment horizontal="center"/>
    </xf>
    <xf numFmtId="0" fontId="52" fillId="0" borderId="0" xfId="42" applyFont="1" applyFill="1" applyBorder="1"/>
    <xf numFmtId="0" fontId="51" fillId="0" borderId="0" xfId="42" applyFont="1" applyFill="1" applyBorder="1" applyProtection="1"/>
    <xf numFmtId="0" fontId="52" fillId="0" borderId="10" xfId="42" applyFont="1" applyFill="1" applyBorder="1" applyAlignment="1" applyProtection="1">
      <alignment horizontal="center" vertical="center" wrapText="1"/>
    </xf>
    <xf numFmtId="0" fontId="52" fillId="0" borderId="0" xfId="42" applyFont="1" applyFill="1" applyAlignment="1">
      <alignment horizontal="center" vertical="center" wrapText="1"/>
    </xf>
    <xf numFmtId="0" fontId="52" fillId="0" borderId="10" xfId="0" applyFont="1" applyFill="1" applyBorder="1" applyAlignment="1">
      <alignment horizontal="center" vertical="center" wrapText="1"/>
    </xf>
    <xf numFmtId="0" fontId="52" fillId="0" borderId="10" xfId="0" applyFont="1" applyFill="1" applyBorder="1" applyAlignment="1">
      <alignment vertical="center" wrapText="1"/>
    </xf>
    <xf numFmtId="0" fontId="52" fillId="0" borderId="17" xfId="0" applyFont="1" applyFill="1" applyBorder="1" applyAlignment="1">
      <alignment horizontal="center" vertical="center" wrapText="1"/>
    </xf>
    <xf numFmtId="0" fontId="52" fillId="0" borderId="58" xfId="0" applyFont="1" applyFill="1" applyBorder="1" applyAlignment="1">
      <alignment horizontal="center" vertical="center" wrapText="1"/>
    </xf>
    <xf numFmtId="0" fontId="52" fillId="0" borderId="1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2" fontId="4" fillId="0" borderId="1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173" fontId="4" fillId="0" borderId="24" xfId="0" applyNumberFormat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1" fontId="4" fillId="0" borderId="5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7" fillId="0" borderId="0" xfId="0" applyFont="1" applyFill="1" applyBorder="1" applyAlignment="1">
      <alignment vertical="center" wrapText="1"/>
    </xf>
    <xf numFmtId="0" fontId="4" fillId="0" borderId="14" xfId="42" applyFont="1" applyFill="1" applyBorder="1" applyAlignment="1">
      <alignment horizontal="center" vertical="top" wrapText="1"/>
    </xf>
    <xf numFmtId="0" fontId="4" fillId="0" borderId="15" xfId="42" applyFont="1" applyFill="1" applyBorder="1" applyAlignment="1">
      <alignment horizontal="center" vertical="top" wrapText="1"/>
    </xf>
    <xf numFmtId="0" fontId="6" fillId="0" borderId="60" xfId="42" applyFill="1" applyBorder="1" applyAlignment="1">
      <alignment vertical="center"/>
    </xf>
    <xf numFmtId="0" fontId="0" fillId="0" borderId="10" xfId="0" applyNumberFormat="1" applyFill="1" applyBorder="1" applyAlignment="1">
      <alignment horizontal="center" wrapText="1"/>
    </xf>
    <xf numFmtId="0" fontId="6" fillId="0" borderId="16" xfId="42" applyFill="1" applyBorder="1" applyAlignment="1">
      <alignment horizontal="center" vertical="center"/>
    </xf>
    <xf numFmtId="0" fontId="6" fillId="0" borderId="61" xfId="42" applyFill="1" applyBorder="1" applyAlignment="1">
      <alignment horizontal="center" vertical="center"/>
    </xf>
    <xf numFmtId="172" fontId="6" fillId="0" borderId="16" xfId="42" applyNumberFormat="1" applyFill="1" applyBorder="1" applyAlignment="1">
      <alignment horizontal="center" vertical="center"/>
    </xf>
    <xf numFmtId="0" fontId="6" fillId="0" borderId="62" xfId="42" applyFill="1" applyBorder="1" applyAlignment="1">
      <alignment vertical="center"/>
    </xf>
    <xf numFmtId="0" fontId="6" fillId="0" borderId="62" xfId="42" applyFill="1" applyBorder="1" applyAlignment="1">
      <alignment horizontal="center" vertical="center"/>
    </xf>
    <xf numFmtId="0" fontId="6" fillId="0" borderId="63" xfId="42" applyFill="1" applyBorder="1" applyAlignment="1">
      <alignment horizontal="center" vertical="center"/>
    </xf>
    <xf numFmtId="0" fontId="6" fillId="0" borderId="64" xfId="42" applyFill="1" applyBorder="1" applyAlignment="1">
      <alignment vertical="center"/>
    </xf>
    <xf numFmtId="0" fontId="6" fillId="0" borderId="65" xfId="42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6" fillId="0" borderId="10" xfId="42" applyFill="1" applyBorder="1"/>
    <xf numFmtId="172" fontId="6" fillId="0" borderId="12" xfId="42" applyNumberFormat="1" applyFill="1" applyBorder="1" applyAlignment="1">
      <alignment horizontal="center" vertical="center"/>
    </xf>
    <xf numFmtId="172" fontId="6" fillId="0" borderId="66" xfId="42" applyNumberFormat="1" applyFill="1" applyBorder="1" applyAlignment="1">
      <alignment horizontal="center" vertical="center"/>
    </xf>
    <xf numFmtId="172" fontId="6" fillId="0" borderId="63" xfId="42" applyNumberFormat="1" applyFill="1" applyBorder="1" applyAlignment="1">
      <alignment horizontal="center" vertical="center"/>
    </xf>
    <xf numFmtId="172" fontId="6" fillId="0" borderId="67" xfId="42" applyNumberFormat="1" applyFill="1" applyBorder="1" applyAlignment="1">
      <alignment horizontal="center" vertical="center"/>
    </xf>
    <xf numFmtId="172" fontId="6" fillId="0" borderId="61" xfId="42" applyNumberFormat="1" applyFill="1" applyBorder="1" applyAlignment="1">
      <alignment horizontal="center" vertical="center"/>
    </xf>
    <xf numFmtId="172" fontId="6" fillId="0" borderId="65" xfId="42" applyNumberFormat="1" applyFill="1" applyBorder="1" applyAlignment="1">
      <alignment horizontal="center" vertical="center"/>
    </xf>
    <xf numFmtId="0" fontId="6" fillId="0" borderId="10" xfId="0" applyFont="1" applyFill="1" applyBorder="1"/>
    <xf numFmtId="172" fontId="6" fillId="0" borderId="0" xfId="42" applyNumberFormat="1" applyFill="1" applyAlignment="1">
      <alignment horizontal="center"/>
    </xf>
    <xf numFmtId="0" fontId="6" fillId="0" borderId="0" xfId="42" applyFill="1" applyAlignment="1">
      <alignment horizontal="center" vertical="justify"/>
    </xf>
    <xf numFmtId="0" fontId="7" fillId="0" borderId="0" xfId="42" applyFont="1" applyFill="1" applyAlignment="1">
      <alignment vertical="justify" wrapText="1"/>
    </xf>
    <xf numFmtId="0" fontId="4" fillId="0" borderId="58" xfId="42" applyFont="1" applyFill="1" applyBorder="1" applyAlignment="1">
      <alignment horizontal="center" vertical="top" wrapText="1"/>
    </xf>
    <xf numFmtId="0" fontId="4" fillId="0" borderId="17" xfId="42" applyFont="1" applyFill="1" applyBorder="1" applyAlignment="1">
      <alignment horizontal="center" vertical="top" wrapText="1"/>
    </xf>
    <xf numFmtId="0" fontId="4" fillId="0" borderId="11" xfId="42" applyFont="1" applyFill="1" applyBorder="1" applyAlignment="1">
      <alignment horizontal="center" vertical="top" wrapText="1"/>
    </xf>
    <xf numFmtId="0" fontId="4" fillId="0" borderId="0" xfId="42" applyFont="1" applyFill="1" applyBorder="1" applyAlignment="1">
      <alignment horizontal="center" vertical="top" wrapText="1"/>
    </xf>
    <xf numFmtId="0" fontId="4" fillId="0" borderId="0" xfId="42" applyFont="1" applyFill="1" applyAlignment="1">
      <alignment horizontal="center" vertical="top" wrapText="1"/>
    </xf>
    <xf numFmtId="0" fontId="6" fillId="0" borderId="0" xfId="42" applyFill="1" applyBorder="1" applyAlignment="1">
      <alignment horizontal="right"/>
    </xf>
    <xf numFmtId="174" fontId="6" fillId="0" borderId="0" xfId="42" applyNumberFormat="1" applyFill="1" applyAlignment="1">
      <alignment vertical="center"/>
    </xf>
    <xf numFmtId="172" fontId="6" fillId="0" borderId="10" xfId="42" applyNumberFormat="1" applyFill="1" applyBorder="1" applyAlignment="1" applyProtection="1">
      <alignment horizontal="center" vertical="center"/>
      <protection locked="0"/>
    </xf>
    <xf numFmtId="173" fontId="6" fillId="0" borderId="10" xfId="42" applyNumberFormat="1" applyFill="1" applyBorder="1" applyAlignment="1">
      <alignment horizontal="center" vertical="center"/>
    </xf>
    <xf numFmtId="2" fontId="6" fillId="0" borderId="10" xfId="42" applyNumberFormat="1" applyFill="1" applyBorder="1" applyAlignment="1" applyProtection="1">
      <alignment horizontal="center" vertical="center"/>
      <protection locked="0"/>
    </xf>
    <xf numFmtId="2" fontId="6" fillId="0" borderId="10" xfId="42" applyNumberFormat="1" applyFill="1" applyBorder="1" applyAlignment="1">
      <alignment horizontal="center"/>
    </xf>
    <xf numFmtId="2" fontId="6" fillId="0" borderId="10" xfId="42" applyNumberFormat="1" applyFill="1" applyBorder="1"/>
    <xf numFmtId="0" fontId="41" fillId="0" borderId="10" xfId="48" applyFont="1" applyFill="1" applyBorder="1" applyAlignment="1" applyProtection="1">
      <alignment horizontal="center" vertical="center" wrapText="1"/>
    </xf>
    <xf numFmtId="2" fontId="2" fillId="0" borderId="0" xfId="42" applyNumberFormat="1" applyFont="1" applyFill="1" applyAlignment="1">
      <alignment horizontal="center"/>
    </xf>
    <xf numFmtId="0" fontId="2" fillId="0" borderId="0" xfId="42" applyFont="1" applyFill="1" applyAlignment="1">
      <alignment horizontal="center"/>
    </xf>
    <xf numFmtId="2" fontId="41" fillId="0" borderId="10" xfId="48" applyNumberFormat="1" applyFont="1" applyFill="1" applyBorder="1" applyAlignment="1">
      <alignment horizontal="center" vertical="center" wrapText="1"/>
    </xf>
    <xf numFmtId="0" fontId="41" fillId="0" borderId="10" xfId="48" applyFont="1" applyFill="1" applyBorder="1" applyAlignment="1" applyProtection="1">
      <alignment horizontal="center"/>
    </xf>
    <xf numFmtId="2" fontId="41" fillId="0" borderId="10" xfId="48" applyNumberFormat="1" applyFont="1" applyFill="1" applyBorder="1" applyAlignment="1">
      <alignment horizontal="center" wrapText="1"/>
    </xf>
    <xf numFmtId="2" fontId="41" fillId="0" borderId="10" xfId="48" applyNumberFormat="1" applyFont="1" applyFill="1" applyBorder="1" applyAlignment="1">
      <alignment horizontal="center" vertical="center"/>
    </xf>
    <xf numFmtId="1" fontId="41" fillId="0" borderId="10" xfId="48" applyNumberFormat="1" applyFont="1" applyFill="1" applyBorder="1" applyAlignment="1">
      <alignment horizontal="center"/>
    </xf>
    <xf numFmtId="2" fontId="41" fillId="0" borderId="10" xfId="48" applyNumberFormat="1" applyFont="1" applyFill="1" applyBorder="1" applyAlignment="1">
      <alignment horizontal="center"/>
    </xf>
    <xf numFmtId="2" fontId="41" fillId="0" borderId="10" xfId="38" applyNumberFormat="1" applyFont="1" applyFill="1" applyBorder="1" applyAlignment="1" applyProtection="1">
      <alignment horizontal="center" shrinkToFit="1"/>
    </xf>
    <xf numFmtId="2" fontId="41" fillId="0" borderId="10" xfId="38" applyNumberFormat="1" applyFont="1" applyFill="1" applyBorder="1" applyAlignment="1">
      <alignment horizontal="center"/>
    </xf>
    <xf numFmtId="0" fontId="41" fillId="0" borderId="10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  <xf numFmtId="2" fontId="2" fillId="0" borderId="10" xfId="0" applyNumberFormat="1" applyFont="1" applyFill="1" applyBorder="1" applyAlignment="1">
      <alignment horizontal="center"/>
    </xf>
    <xf numFmtId="1" fontId="41" fillId="0" borderId="10" xfId="48" applyNumberFormat="1" applyFont="1" applyFill="1" applyBorder="1" applyAlignment="1">
      <alignment horizontal="center" vertical="center"/>
    </xf>
    <xf numFmtId="0" fontId="29" fillId="0" borderId="0" xfId="42" applyFont="1" applyFill="1" applyAlignment="1">
      <alignment vertical="center"/>
    </xf>
    <xf numFmtId="0" fontId="27" fillId="0" borderId="39" xfId="40" applyFont="1" applyFill="1" applyBorder="1" applyAlignment="1">
      <alignment vertical="center"/>
    </xf>
    <xf numFmtId="0" fontId="27" fillId="0" borderId="0" xfId="40" applyFont="1" applyFill="1" applyAlignment="1">
      <alignment horizontal="center" vertical="center" wrapText="1"/>
    </xf>
    <xf numFmtId="0" fontId="27" fillId="0" borderId="0" xfId="40" applyFont="1" applyFill="1" applyAlignment="1">
      <alignment vertical="center"/>
    </xf>
    <xf numFmtId="0" fontId="31" fillId="0" borderId="43" xfId="48" applyFont="1" applyFill="1" applyBorder="1" applyAlignment="1" applyProtection="1">
      <alignment horizontal="center" vertical="center" wrapText="1"/>
    </xf>
    <xf numFmtId="2" fontId="31" fillId="0" borderId="43" xfId="48" applyNumberFormat="1" applyFont="1" applyFill="1" applyBorder="1" applyAlignment="1">
      <alignment horizontal="center" vertical="center" wrapText="1"/>
    </xf>
    <xf numFmtId="0" fontId="27" fillId="0" borderId="44" xfId="40" applyFont="1" applyFill="1" applyBorder="1" applyAlignment="1">
      <alignment vertical="center" wrapText="1"/>
    </xf>
    <xf numFmtId="0" fontId="27" fillId="0" borderId="0" xfId="40" applyFont="1" applyFill="1" applyAlignment="1">
      <alignment vertical="center" wrapText="1"/>
    </xf>
    <xf numFmtId="0" fontId="2" fillId="0" borderId="10" xfId="40" applyFont="1" applyFill="1" applyBorder="1" applyAlignment="1">
      <alignment horizontal="center" vertical="center"/>
    </xf>
    <xf numFmtId="2" fontId="7" fillId="0" borderId="10" xfId="40" applyNumberFormat="1" applyFont="1" applyFill="1" applyBorder="1" applyAlignment="1">
      <alignment horizontal="center" vertical="center"/>
    </xf>
    <xf numFmtId="2" fontId="40" fillId="0" borderId="10" xfId="40" applyNumberFormat="1" applyFont="1" applyFill="1" applyBorder="1" applyAlignment="1" applyProtection="1">
      <alignment horizontal="center" vertical="center"/>
    </xf>
    <xf numFmtId="0" fontId="2" fillId="0" borderId="0" xfId="40" applyFont="1" applyFill="1" applyAlignment="1">
      <alignment vertical="center"/>
    </xf>
    <xf numFmtId="0" fontId="53" fillId="0" borderId="10" xfId="47" applyFont="1" applyBorder="1" applyAlignment="1">
      <alignment horizontal="center" vertical="center"/>
    </xf>
    <xf numFmtId="2" fontId="53" fillId="0" borderId="10" xfId="47" applyNumberFormat="1" applyFont="1" applyBorder="1" applyAlignment="1">
      <alignment horizontal="center" vertical="center"/>
    </xf>
    <xf numFmtId="2" fontId="26" fillId="0" borderId="10" xfId="47" applyNumberFormat="1" applyFont="1" applyFill="1" applyBorder="1" applyAlignment="1">
      <alignment horizontal="center" vertical="center"/>
    </xf>
    <xf numFmtId="2" fontId="26" fillId="0" borderId="10" xfId="47" applyNumberFormat="1" applyFont="1" applyBorder="1" applyAlignment="1">
      <alignment horizontal="center" vertical="center"/>
    </xf>
    <xf numFmtId="0" fontId="53" fillId="0" borderId="17" xfId="47" applyFont="1" applyBorder="1" applyAlignment="1">
      <alignment horizontal="center" vertical="center"/>
    </xf>
    <xf numFmtId="173" fontId="53" fillId="0" borderId="20" xfId="40" applyNumberFormat="1" applyFont="1" applyBorder="1" applyAlignment="1">
      <alignment horizontal="center" vertical="center"/>
    </xf>
    <xf numFmtId="0" fontId="2" fillId="0" borderId="0" xfId="47" applyFont="1"/>
    <xf numFmtId="0" fontId="53" fillId="0" borderId="58" xfId="47" applyFont="1" applyBorder="1" applyAlignment="1">
      <alignment horizontal="center" vertical="center"/>
    </xf>
    <xf numFmtId="0" fontId="26" fillId="0" borderId="18" xfId="47" applyFont="1" applyBorder="1" applyAlignment="1">
      <alignment horizontal="center" vertical="center"/>
    </xf>
    <xf numFmtId="0" fontId="53" fillId="0" borderId="19" xfId="47" applyFont="1" applyBorder="1" applyAlignment="1">
      <alignment horizontal="center" vertical="center"/>
    </xf>
    <xf numFmtId="0" fontId="26" fillId="0" borderId="19" xfId="47" applyFont="1" applyFill="1" applyBorder="1" applyAlignment="1">
      <alignment horizontal="center" vertical="center"/>
    </xf>
    <xf numFmtId="0" fontId="26" fillId="0" borderId="20" xfId="47" applyFont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10" xfId="47" applyFont="1" applyFill="1" applyBorder="1" applyAlignment="1">
      <alignment horizontal="center" vertical="center"/>
    </xf>
    <xf numFmtId="0" fontId="26" fillId="0" borderId="10" xfId="47" applyFont="1" applyBorder="1" applyAlignment="1">
      <alignment horizontal="center" vertical="center"/>
    </xf>
    <xf numFmtId="0" fontId="26" fillId="0" borderId="10" xfId="47" quotePrefix="1" applyFont="1" applyBorder="1" applyAlignment="1">
      <alignment horizontal="center" vertical="center"/>
    </xf>
    <xf numFmtId="0" fontId="53" fillId="0" borderId="0" xfId="47" applyFont="1" applyAlignment="1">
      <alignment horizontal="center" vertical="center"/>
    </xf>
    <xf numFmtId="0" fontId="53" fillId="0" borderId="0" xfId="47" applyFont="1" applyFill="1" applyAlignment="1">
      <alignment horizontal="center" vertical="center"/>
    </xf>
    <xf numFmtId="0" fontId="4" fillId="0" borderId="0" xfId="47" applyFont="1" applyAlignment="1">
      <alignment horizontal="center" vertical="center"/>
    </xf>
    <xf numFmtId="0" fontId="4" fillId="0" borderId="0" xfId="47" applyFont="1" applyFill="1" applyAlignment="1">
      <alignment horizontal="center" vertical="center"/>
    </xf>
    <xf numFmtId="0" fontId="52" fillId="0" borderId="10" xfId="42" applyNumberFormat="1" applyFont="1" applyFill="1" applyBorder="1" applyAlignment="1" applyProtection="1">
      <alignment horizontal="center" vertical="center"/>
    </xf>
    <xf numFmtId="0" fontId="52" fillId="0" borderId="10" xfId="0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vertical="center"/>
    </xf>
    <xf numFmtId="0" fontId="2" fillId="0" borderId="10" xfId="42" applyFont="1" applyFill="1" applyBorder="1" applyAlignment="1">
      <alignment horizontal="center" vertical="center"/>
    </xf>
    <xf numFmtId="178" fontId="60" fillId="0" borderId="10" xfId="0" applyNumberFormat="1" applyFont="1" applyFill="1" applyBorder="1" applyAlignment="1">
      <alignment horizontal="center" vertical="center"/>
    </xf>
    <xf numFmtId="2" fontId="2" fillId="0" borderId="15" xfId="42" applyNumberFormat="1" applyFont="1" applyFill="1" applyBorder="1" applyAlignment="1">
      <alignment horizontal="center" vertical="center"/>
    </xf>
    <xf numFmtId="172" fontId="2" fillId="0" borderId="10" xfId="42" applyNumberFormat="1" applyFont="1" applyFill="1" applyBorder="1" applyAlignment="1">
      <alignment horizontal="center" vertical="center"/>
    </xf>
    <xf numFmtId="0" fontId="2" fillId="0" borderId="14" xfId="42" applyNumberFormat="1" applyFont="1" applyFill="1" applyBorder="1" applyAlignment="1">
      <alignment horizontal="center" vertical="center"/>
    </xf>
    <xf numFmtId="0" fontId="2" fillId="0" borderId="0" xfId="42" applyFont="1" applyFill="1" applyBorder="1" applyAlignment="1">
      <alignment horizontal="center" vertical="center"/>
    </xf>
    <xf numFmtId="0" fontId="29" fillId="0" borderId="10" xfId="42" applyFont="1" applyFill="1" applyBorder="1" applyAlignment="1">
      <alignment horizontal="center" vertical="center" wrapText="1"/>
    </xf>
    <xf numFmtId="0" fontId="61" fillId="27" borderId="0" xfId="0" applyFont="1" applyFill="1" applyAlignment="1">
      <alignment vertical="center" wrapText="1"/>
    </xf>
    <xf numFmtId="0" fontId="62" fillId="27" borderId="10" xfId="0" applyFont="1" applyFill="1" applyBorder="1" applyAlignment="1">
      <alignment horizontal="center" vertical="top" wrapText="1"/>
    </xf>
    <xf numFmtId="49" fontId="26" fillId="27" borderId="10" xfId="0" applyNumberFormat="1" applyFont="1" applyFill="1" applyBorder="1" applyAlignment="1">
      <alignment horizontal="center" vertical="top" wrapText="1"/>
    </xf>
    <xf numFmtId="49" fontId="26" fillId="27" borderId="10" xfId="0" applyNumberFormat="1" applyFont="1" applyFill="1" applyBorder="1" applyAlignment="1">
      <alignment horizontal="center" vertical="top"/>
    </xf>
    <xf numFmtId="0" fontId="61" fillId="27" borderId="0" xfId="0" applyFont="1" applyFill="1" applyAlignment="1">
      <alignment vertical="top" wrapText="1"/>
    </xf>
    <xf numFmtId="0" fontId="62" fillId="27" borderId="10" xfId="0" applyFont="1" applyFill="1" applyBorder="1" applyAlignment="1">
      <alignment vertical="top" wrapText="1"/>
    </xf>
    <xf numFmtId="0" fontId="62" fillId="27" borderId="0" xfId="0" applyFont="1" applyFill="1" applyAlignment="1">
      <alignment vertical="top" wrapText="1"/>
    </xf>
    <xf numFmtId="0" fontId="61" fillId="27" borderId="10" xfId="0" applyFont="1" applyFill="1" applyBorder="1" applyAlignment="1">
      <alignment vertical="top" wrapText="1"/>
    </xf>
    <xf numFmtId="2" fontId="61" fillId="27" borderId="10" xfId="0" applyNumberFormat="1" applyFont="1" applyFill="1" applyBorder="1" applyAlignment="1">
      <alignment vertical="top" wrapText="1"/>
    </xf>
    <xf numFmtId="1" fontId="61" fillId="27" borderId="10" xfId="0" applyNumberFormat="1" applyFont="1" applyFill="1" applyBorder="1" applyAlignment="1">
      <alignment vertical="top" wrapText="1"/>
    </xf>
    <xf numFmtId="0" fontId="61" fillId="27" borderId="0" xfId="0" applyFont="1" applyFill="1" applyAlignment="1">
      <alignment horizontal="center" vertical="top" wrapText="1"/>
    </xf>
    <xf numFmtId="1" fontId="61" fillId="27" borderId="0" xfId="0" applyNumberFormat="1" applyFont="1" applyFill="1" applyAlignment="1">
      <alignment vertical="top" wrapText="1"/>
    </xf>
    <xf numFmtId="173" fontId="61" fillId="27" borderId="10" xfId="0" applyNumberFormat="1" applyFont="1" applyFill="1" applyBorder="1" applyAlignment="1">
      <alignment vertical="top" wrapText="1"/>
    </xf>
    <xf numFmtId="173" fontId="62" fillId="27" borderId="10" xfId="0" applyNumberFormat="1" applyFont="1" applyFill="1" applyBorder="1" applyAlignment="1">
      <alignment vertical="top" wrapText="1"/>
    </xf>
    <xf numFmtId="0" fontId="0" fillId="0" borderId="10" xfId="0" applyBorder="1"/>
    <xf numFmtId="0" fontId="63" fillId="27" borderId="10" xfId="0" applyFont="1" applyFill="1" applyBorder="1" applyAlignment="1">
      <alignment horizontal="center" vertical="center" wrapText="1"/>
    </xf>
    <xf numFmtId="0" fontId="63" fillId="0" borderId="10" xfId="0" applyFont="1" applyFill="1" applyBorder="1" applyAlignment="1">
      <alignment horizontal="center"/>
    </xf>
    <xf numFmtId="0" fontId="63" fillId="0" borderId="10" xfId="0" applyFont="1" applyFill="1" applyBorder="1"/>
    <xf numFmtId="0" fontId="0" fillId="0" borderId="10" xfId="0" applyNumberFormat="1" applyFill="1" applyBorder="1" applyAlignment="1">
      <alignment horizontal="center" vertical="center" wrapText="1"/>
    </xf>
    <xf numFmtId="0" fontId="63" fillId="27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27" borderId="10" xfId="0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20" xfId="0" applyBorder="1"/>
    <xf numFmtId="0" fontId="63" fillId="27" borderId="20" xfId="0" applyFont="1" applyFill="1" applyBorder="1" applyAlignment="1">
      <alignment horizontal="center" vertical="center" wrapText="1"/>
    </xf>
    <xf numFmtId="0" fontId="54" fillId="0" borderId="34" xfId="0" applyFont="1" applyBorder="1" applyAlignment="1">
      <alignment horizontal="center" vertical="center" wrapText="1"/>
    </xf>
    <xf numFmtId="0" fontId="54" fillId="0" borderId="35" xfId="0" applyFont="1" applyBorder="1" applyAlignment="1">
      <alignment horizontal="center" vertical="center" wrapText="1"/>
    </xf>
    <xf numFmtId="0" fontId="54" fillId="0" borderId="3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42" applyFont="1" applyFill="1" applyAlignment="1">
      <alignment horizontal="center" vertical="center"/>
    </xf>
    <xf numFmtId="0" fontId="37" fillId="0" borderId="0" xfId="0" applyFont="1" applyFill="1" applyAlignment="1">
      <alignment horizontal="center"/>
    </xf>
    <xf numFmtId="0" fontId="51" fillId="0" borderId="17" xfId="42" applyFont="1" applyFill="1" applyBorder="1" applyAlignment="1" applyProtection="1">
      <alignment horizontal="center" vertical="center" wrapText="1"/>
    </xf>
    <xf numFmtId="0" fontId="51" fillId="0" borderId="20" xfId="42" applyFont="1" applyFill="1" applyBorder="1" applyAlignment="1" applyProtection="1">
      <alignment horizontal="center" vertical="center" wrapText="1"/>
    </xf>
    <xf numFmtId="0" fontId="7" fillId="0" borderId="0" xfId="42" applyFont="1" applyFill="1" applyAlignment="1">
      <alignment horizontal="center"/>
    </xf>
    <xf numFmtId="0" fontId="7" fillId="0" borderId="0" xfId="42" applyFont="1" applyFill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7" fillId="0" borderId="0" xfId="42" applyFont="1" applyFill="1" applyAlignment="1">
      <alignment horizontal="center" wrapText="1"/>
    </xf>
    <xf numFmtId="0" fontId="3" fillId="0" borderId="0" xfId="42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 wrapText="1"/>
    </xf>
    <xf numFmtId="172" fontId="6" fillId="0" borderId="17" xfId="42" applyNumberFormat="1" applyFill="1" applyBorder="1" applyAlignment="1">
      <alignment horizontal="center" vertical="center"/>
    </xf>
    <xf numFmtId="172" fontId="6" fillId="0" borderId="13" xfId="42" applyNumberFormat="1" applyFill="1" applyBorder="1" applyAlignment="1">
      <alignment horizontal="center" vertical="center"/>
    </xf>
    <xf numFmtId="172" fontId="6" fillId="0" borderId="20" xfId="42" applyNumberFormat="1" applyFill="1" applyBorder="1" applyAlignment="1">
      <alignment horizontal="center" vertical="center"/>
    </xf>
    <xf numFmtId="0" fontId="4" fillId="0" borderId="17" xfId="42" applyFont="1" applyFill="1" applyBorder="1" applyAlignment="1">
      <alignment horizontal="center" vertical="center"/>
    </xf>
    <xf numFmtId="0" fontId="4" fillId="0" borderId="13" xfId="42" applyFont="1" applyFill="1" applyBorder="1" applyAlignment="1">
      <alignment horizontal="center" vertical="center"/>
    </xf>
    <xf numFmtId="0" fontId="4" fillId="0" borderId="20" xfId="42" applyFont="1" applyFill="1" applyBorder="1" applyAlignment="1">
      <alignment horizontal="center" vertical="center"/>
    </xf>
    <xf numFmtId="0" fontId="6" fillId="0" borderId="17" xfId="42" applyFill="1" applyBorder="1" applyAlignment="1">
      <alignment horizontal="center" vertical="center"/>
    </xf>
    <xf numFmtId="0" fontId="6" fillId="0" borderId="13" xfId="42" applyFill="1" applyBorder="1" applyAlignment="1">
      <alignment horizontal="center" vertical="center"/>
    </xf>
    <xf numFmtId="0" fontId="6" fillId="0" borderId="20" xfId="42" applyFill="1" applyBorder="1" applyAlignment="1">
      <alignment horizontal="center" vertical="center"/>
    </xf>
    <xf numFmtId="0" fontId="7" fillId="0" borderId="0" xfId="42" applyFont="1" applyFill="1" applyAlignment="1">
      <alignment horizontal="center" vertical="top"/>
    </xf>
    <xf numFmtId="0" fontId="7" fillId="0" borderId="0" xfId="42" applyFont="1" applyFill="1" applyAlignment="1">
      <alignment horizontal="left" vertical="top" wrapText="1"/>
    </xf>
    <xf numFmtId="172" fontId="6" fillId="0" borderId="18" xfId="42" applyNumberFormat="1" applyFill="1" applyBorder="1" applyAlignment="1">
      <alignment horizontal="center" vertical="center"/>
    </xf>
    <xf numFmtId="172" fontId="6" fillId="0" borderId="28" xfId="42" applyNumberFormat="1" applyFill="1" applyBorder="1" applyAlignment="1">
      <alignment horizontal="center" vertical="center"/>
    </xf>
    <xf numFmtId="172" fontId="6" fillId="0" borderId="26" xfId="42" applyNumberFormat="1" applyFill="1" applyBorder="1" applyAlignment="1">
      <alignment horizontal="center" vertical="center"/>
    </xf>
    <xf numFmtId="0" fontId="7" fillId="0" borderId="0" xfId="42" applyFont="1" applyFill="1" applyAlignment="1">
      <alignment horizontal="center" vertical="top" wrapText="1"/>
    </xf>
    <xf numFmtId="0" fontId="7" fillId="0" borderId="0" xfId="42" applyFont="1" applyFill="1" applyAlignment="1">
      <alignment horizontal="center" vertical="justify" wrapText="1"/>
    </xf>
    <xf numFmtId="0" fontId="39" fillId="0" borderId="0" xfId="0" applyFont="1" applyAlignment="1" applyProtection="1">
      <alignment horizontal="center"/>
    </xf>
    <xf numFmtId="0" fontId="41" fillId="0" borderId="14" xfId="0" applyFont="1" applyBorder="1" applyAlignment="1" applyProtection="1">
      <alignment horizontal="center" vertical="top" wrapText="1"/>
    </xf>
    <xf numFmtId="0" fontId="41" fillId="0" borderId="15" xfId="0" applyFont="1" applyBorder="1" applyAlignment="1" applyProtection="1">
      <alignment horizontal="center" vertical="top" wrapText="1"/>
    </xf>
    <xf numFmtId="0" fontId="41" fillId="0" borderId="12" xfId="0" applyFont="1" applyBorder="1" applyAlignment="1" applyProtection="1">
      <alignment horizontal="center" vertical="top" wrapText="1"/>
    </xf>
    <xf numFmtId="0" fontId="39" fillId="0" borderId="0" xfId="40" applyFont="1" applyAlignment="1">
      <alignment horizontal="center"/>
    </xf>
    <xf numFmtId="0" fontId="39" fillId="0" borderId="21" xfId="40" applyFont="1" applyBorder="1" applyAlignment="1">
      <alignment horizontal="center"/>
    </xf>
    <xf numFmtId="0" fontId="41" fillId="0" borderId="17" xfId="40" applyFont="1" applyBorder="1" applyAlignment="1">
      <alignment horizontal="center" vertical="top" wrapText="1"/>
    </xf>
    <xf numFmtId="0" fontId="41" fillId="0" borderId="13" xfId="40" applyFont="1" applyBorder="1" applyAlignment="1">
      <alignment horizontal="center" vertical="top" wrapText="1"/>
    </xf>
    <xf numFmtId="0" fontId="41" fillId="0" borderId="20" xfId="40" applyFont="1" applyBorder="1" applyAlignment="1">
      <alignment horizontal="center" vertical="top" wrapText="1"/>
    </xf>
    <xf numFmtId="0" fontId="41" fillId="0" borderId="14" xfId="40" applyFont="1" applyBorder="1" applyAlignment="1">
      <alignment horizontal="center"/>
    </xf>
    <xf numFmtId="0" fontId="41" fillId="0" borderId="12" xfId="40" applyFont="1" applyBorder="1" applyAlignment="1">
      <alignment horizontal="center"/>
    </xf>
    <xf numFmtId="0" fontId="41" fillId="0" borderId="15" xfId="40" applyFont="1" applyBorder="1" applyAlignment="1">
      <alignment horizontal="center"/>
    </xf>
    <xf numFmtId="0" fontId="41" fillId="0" borderId="17" xfId="40" applyFont="1" applyBorder="1" applyAlignment="1">
      <alignment horizontal="center" wrapText="1"/>
    </xf>
    <xf numFmtId="0" fontId="2" fillId="0" borderId="13" xfId="40" applyBorder="1" applyAlignment="1">
      <alignment horizontal="center" wrapText="1"/>
    </xf>
    <xf numFmtId="0" fontId="2" fillId="0" borderId="20" xfId="40" applyBorder="1" applyAlignment="1">
      <alignment horizontal="center" wrapText="1"/>
    </xf>
    <xf numFmtId="0" fontId="41" fillId="0" borderId="10" xfId="40" applyFont="1" applyBorder="1" applyAlignment="1">
      <alignment horizontal="center" vertical="center"/>
    </xf>
    <xf numFmtId="0" fontId="41" fillId="0" borderId="10" xfId="48" applyFont="1" applyFill="1" applyBorder="1" applyAlignment="1" applyProtection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1" fontId="31" fillId="0" borderId="38" xfId="48" applyNumberFormat="1" applyFont="1" applyFill="1" applyBorder="1" applyAlignment="1">
      <alignment horizontal="center" vertical="center"/>
    </xf>
    <xf numFmtId="0" fontId="31" fillId="0" borderId="38" xfId="48" applyFont="1" applyFill="1" applyBorder="1" applyAlignment="1" applyProtection="1">
      <alignment horizontal="center" vertical="center" wrapText="1"/>
    </xf>
    <xf numFmtId="0" fontId="31" fillId="0" borderId="43" xfId="48" applyFont="1" applyFill="1" applyBorder="1" applyAlignment="1" applyProtection="1">
      <alignment horizontal="center" vertical="center" wrapText="1"/>
    </xf>
    <xf numFmtId="0" fontId="26" fillId="0" borderId="54" xfId="40" applyFont="1" applyFill="1" applyBorder="1" applyAlignment="1">
      <alignment horizontal="center"/>
    </xf>
    <xf numFmtId="0" fontId="26" fillId="0" borderId="68" xfId="40" applyFont="1" applyFill="1" applyBorder="1" applyAlignment="1">
      <alignment horizontal="center"/>
    </xf>
    <xf numFmtId="0" fontId="26" fillId="0" borderId="69" xfId="40" applyFont="1" applyFill="1" applyBorder="1" applyAlignment="1">
      <alignment horizontal="center"/>
    </xf>
    <xf numFmtId="0" fontId="31" fillId="0" borderId="37" xfId="48" applyFont="1" applyFill="1" applyBorder="1" applyAlignment="1" applyProtection="1">
      <alignment horizontal="center" vertical="center" wrapText="1"/>
    </xf>
    <xf numFmtId="0" fontId="31" fillId="0" borderId="42" xfId="48" applyFont="1" applyFill="1" applyBorder="1" applyAlignment="1" applyProtection="1">
      <alignment horizontal="center" vertical="center" wrapText="1"/>
    </xf>
    <xf numFmtId="0" fontId="26" fillId="0" borderId="0" xfId="47" applyFont="1" applyAlignment="1">
      <alignment horizontal="center" vertical="center"/>
    </xf>
    <xf numFmtId="0" fontId="26" fillId="0" borderId="21" xfId="47" applyFont="1" applyBorder="1" applyAlignment="1">
      <alignment horizontal="center" vertical="center"/>
    </xf>
    <xf numFmtId="0" fontId="53" fillId="0" borderId="14" xfId="47" applyFont="1" applyBorder="1" applyAlignment="1">
      <alignment horizontal="center" vertical="center"/>
    </xf>
    <xf numFmtId="0" fontId="53" fillId="0" borderId="12" xfId="47" applyFont="1" applyBorder="1" applyAlignment="1">
      <alignment horizontal="center" vertical="center"/>
    </xf>
    <xf numFmtId="0" fontId="53" fillId="0" borderId="15" xfId="47" applyFont="1" applyBorder="1" applyAlignment="1">
      <alignment horizontal="center" vertical="center"/>
    </xf>
    <xf numFmtId="0" fontId="26" fillId="0" borderId="14" xfId="47" quotePrefix="1" applyFont="1" applyBorder="1" applyAlignment="1">
      <alignment horizontal="left" vertical="center"/>
    </xf>
    <xf numFmtId="0" fontId="26" fillId="0" borderId="12" xfId="47" quotePrefix="1" applyFont="1" applyBorder="1" applyAlignment="1">
      <alignment horizontal="left" vertical="center"/>
    </xf>
    <xf numFmtId="0" fontId="26" fillId="0" borderId="15" xfId="47" quotePrefix="1" applyFont="1" applyBorder="1" applyAlignment="1">
      <alignment horizontal="left" vertical="center"/>
    </xf>
    <xf numFmtId="0" fontId="38" fillId="0" borderId="10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/>
    </xf>
    <xf numFmtId="0" fontId="0" fillId="0" borderId="21" xfId="0" applyFill="1" applyBorder="1" applyAlignment="1">
      <alignment horizontal="center"/>
    </xf>
    <xf numFmtId="0" fontId="38" fillId="0" borderId="10" xfId="0" applyFont="1" applyFill="1" applyBorder="1" applyAlignment="1">
      <alignment vertical="top" wrapText="1"/>
    </xf>
    <xf numFmtId="0" fontId="38" fillId="0" borderId="10" xfId="0" applyFont="1" applyFill="1" applyBorder="1" applyAlignment="1"/>
    <xf numFmtId="0" fontId="38" fillId="0" borderId="10" xfId="0" applyFont="1" applyFill="1" applyBorder="1" applyAlignment="1">
      <alignment vertical="top"/>
    </xf>
    <xf numFmtId="0" fontId="7" fillId="0" borderId="10" xfId="40" applyFont="1" applyBorder="1" applyAlignment="1">
      <alignment horizontal="center" vertical="center"/>
    </xf>
    <xf numFmtId="0" fontId="7" fillId="0" borderId="0" xfId="40" applyFont="1" applyFill="1" applyAlignment="1">
      <alignment horizontal="center" vertical="top" wrapText="1"/>
    </xf>
    <xf numFmtId="0" fontId="8" fillId="0" borderId="67" xfId="40" applyFont="1" applyFill="1" applyBorder="1" applyAlignment="1">
      <alignment horizontal="left"/>
    </xf>
    <xf numFmtId="0" fontId="8" fillId="0" borderId="70" xfId="40" applyFont="1" applyFill="1" applyBorder="1" applyAlignment="1">
      <alignment horizontal="left"/>
    </xf>
    <xf numFmtId="0" fontId="8" fillId="0" borderId="25" xfId="40" applyFont="1" applyFill="1" applyBorder="1" applyAlignment="1">
      <alignment horizontal="center"/>
    </xf>
    <xf numFmtId="0" fontId="8" fillId="0" borderId="70" xfId="40" applyFont="1" applyFill="1" applyBorder="1" applyAlignment="1">
      <alignment horizontal="center"/>
    </xf>
    <xf numFmtId="0" fontId="28" fillId="0" borderId="0" xfId="40" applyFont="1" applyAlignment="1">
      <alignment horizontal="left" vertical="top" wrapText="1"/>
    </xf>
    <xf numFmtId="0" fontId="44" fillId="0" borderId="10" xfId="40" applyFont="1" applyBorder="1" applyAlignment="1">
      <alignment horizontal="center" vertical="center" wrapText="1"/>
    </xf>
    <xf numFmtId="0" fontId="45" fillId="0" borderId="0" xfId="40" applyFont="1" applyAlignment="1">
      <alignment horizontal="center"/>
    </xf>
    <xf numFmtId="0" fontId="45" fillId="0" borderId="14" xfId="40" applyFont="1" applyBorder="1" applyAlignment="1">
      <alignment horizontal="center"/>
    </xf>
    <xf numFmtId="0" fontId="45" fillId="0" borderId="12" xfId="40" applyFont="1" applyBorder="1" applyAlignment="1">
      <alignment horizontal="center"/>
    </xf>
    <xf numFmtId="0" fontId="45" fillId="0" borderId="15" xfId="40" applyFont="1" applyBorder="1" applyAlignment="1">
      <alignment horizontal="center"/>
    </xf>
    <xf numFmtId="0" fontId="44" fillId="0" borderId="10" xfId="40" applyFont="1" applyBorder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36" fillId="0" borderId="71" xfId="45" applyFont="1" applyFill="1" applyBorder="1" applyAlignment="1">
      <alignment horizontal="center"/>
    </xf>
    <xf numFmtId="0" fontId="36" fillId="0" borderId="72" xfId="45" applyFont="1" applyFill="1" applyBorder="1" applyAlignment="1">
      <alignment horizontal="center"/>
    </xf>
    <xf numFmtId="0" fontId="36" fillId="0" borderId="73" xfId="45" applyFont="1" applyFill="1" applyBorder="1" applyAlignment="1">
      <alignment horizontal="center"/>
    </xf>
    <xf numFmtId="0" fontId="33" fillId="0" borderId="74" xfId="45" applyFont="1" applyFill="1" applyBorder="1" applyAlignment="1">
      <alignment horizontal="center" vertical="center"/>
    </xf>
    <xf numFmtId="0" fontId="54" fillId="0" borderId="0" xfId="0" applyFont="1" applyAlignment="1">
      <alignment horizontal="left" vertical="top" wrapText="1"/>
    </xf>
    <xf numFmtId="0" fontId="42" fillId="0" borderId="14" xfId="0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left"/>
    </xf>
    <xf numFmtId="0" fontId="46" fillId="0" borderId="12" xfId="0" applyFont="1" applyBorder="1" applyAlignment="1">
      <alignment horizontal="left"/>
    </xf>
    <xf numFmtId="0" fontId="40" fillId="0" borderId="14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14" xfId="0" applyFont="1" applyFill="1" applyBorder="1" applyAlignment="1">
      <alignment horizontal="center" vertical="center" wrapText="1"/>
    </xf>
    <xf numFmtId="0" fontId="40" fillId="0" borderId="12" xfId="0" applyFont="1" applyFill="1" applyBorder="1" applyAlignment="1">
      <alignment horizontal="center" vertical="center" wrapText="1"/>
    </xf>
    <xf numFmtId="0" fontId="40" fillId="0" borderId="15" xfId="0" applyFont="1" applyFill="1" applyBorder="1" applyAlignment="1">
      <alignment horizontal="center" vertical="center" wrapText="1"/>
    </xf>
    <xf numFmtId="0" fontId="61" fillId="27" borderId="10" xfId="0" applyFont="1" applyFill="1" applyBorder="1" applyAlignment="1">
      <alignment horizontal="center" vertical="top" wrapText="1"/>
    </xf>
    <xf numFmtId="0" fontId="54" fillId="27" borderId="0" xfId="0" applyFont="1" applyFill="1" applyAlignment="1">
      <alignment horizontal="left" vertical="top" wrapText="1"/>
    </xf>
    <xf numFmtId="0" fontId="62" fillId="27" borderId="21" xfId="0" applyFont="1" applyFill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</cellXfs>
  <cellStyles count="55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10" xfId="38"/>
    <cellStyle name="Normal 2" xfId="39"/>
    <cellStyle name="Normal 2 2" xfId="40"/>
    <cellStyle name="Normal 2 4" xfId="41"/>
    <cellStyle name="Normal 3" xfId="42"/>
    <cellStyle name="Normal 3 3" xfId="43"/>
    <cellStyle name="Normal 3 5" xfId="44"/>
    <cellStyle name="Normal 4" xfId="45"/>
    <cellStyle name="Normal 5" xfId="46"/>
    <cellStyle name="Normal 6" xfId="47"/>
    <cellStyle name="Normal_Sheet1" xfId="48"/>
    <cellStyle name="Note 2" xfId="49"/>
    <cellStyle name="Output 2" xfId="50"/>
    <cellStyle name="Percent 2" xfId="51"/>
    <cellStyle name="Title 2" xfId="52"/>
    <cellStyle name="Total 2" xfId="53"/>
    <cellStyle name="Warning Text 2" xfId="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Fig-1 :   Hydrograph of Pre &amp; Post Monsoon Water Level &amp; Bar Digram of Annual &amp; Monsoon Rainfall from 2007 to 2016 of Potential Zone Ao, PEESANGAN GW CLUSTER, District Ajmer</a:t>
            </a:r>
          </a:p>
        </c:rich>
      </c:tx>
      <c:layout>
        <c:manualLayout>
          <c:xMode val="edge"/>
          <c:yMode val="edge"/>
          <c:x val="0.12010620907543715"/>
          <c:y val="3.21851121159744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012835472578769E-2"/>
          <c:y val="0.20815472454516973"/>
          <c:w val="0.84597432905484249"/>
          <c:h val="0.585837523719910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Longterm!$B$3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Longterm!$A$4:$A$13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Longterm!$B$4:$B$13</c:f>
              <c:numCache>
                <c:formatCode>0.00</c:formatCode>
                <c:ptCount val="10"/>
                <c:pt idx="0">
                  <c:v>393</c:v>
                </c:pt>
                <c:pt idx="1">
                  <c:v>361</c:v>
                </c:pt>
                <c:pt idx="2">
                  <c:v>127</c:v>
                </c:pt>
                <c:pt idx="3">
                  <c:v>819</c:v>
                </c:pt>
                <c:pt idx="4">
                  <c:v>582</c:v>
                </c:pt>
                <c:pt idx="5">
                  <c:v>607</c:v>
                </c:pt>
                <c:pt idx="6">
                  <c:v>421.5</c:v>
                </c:pt>
                <c:pt idx="7">
                  <c:v>676</c:v>
                </c:pt>
                <c:pt idx="8">
                  <c:v>434.5</c:v>
                </c:pt>
                <c:pt idx="9">
                  <c:v>667.5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9-4520-A318-A9BBFDFF6116}"/>
            </c:ext>
          </c:extLst>
        </c:ser>
        <c:ser>
          <c:idx val="0"/>
          <c:order val="1"/>
          <c:tx>
            <c:strRef>
              <c:f>Longterm!$C$3</c:f>
              <c:strCache>
                <c:ptCount val="1"/>
                <c:pt idx="0">
                  <c:v>MONSOON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Longterm!$A$4:$A$13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Longterm!$C$4:$C$13</c:f>
              <c:numCache>
                <c:formatCode>0.00</c:formatCode>
                <c:ptCount val="10"/>
                <c:pt idx="0">
                  <c:v>377</c:v>
                </c:pt>
                <c:pt idx="1">
                  <c:v>308</c:v>
                </c:pt>
                <c:pt idx="2">
                  <c:v>123</c:v>
                </c:pt>
                <c:pt idx="3">
                  <c:v>713</c:v>
                </c:pt>
                <c:pt idx="4">
                  <c:v>554</c:v>
                </c:pt>
                <c:pt idx="5">
                  <c:v>577</c:v>
                </c:pt>
                <c:pt idx="6">
                  <c:v>402.5</c:v>
                </c:pt>
                <c:pt idx="7">
                  <c:v>634</c:v>
                </c:pt>
                <c:pt idx="8">
                  <c:v>350.5</c:v>
                </c:pt>
                <c:pt idx="9">
                  <c:v>607.5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9-4520-A318-A9BBFDFF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683647"/>
        <c:axId val="1"/>
      </c:barChart>
      <c:lineChart>
        <c:grouping val="standard"/>
        <c:varyColors val="0"/>
        <c:ser>
          <c:idx val="2"/>
          <c:order val="2"/>
          <c:tx>
            <c:strRef>
              <c:f>Longterm!$D$3</c:f>
              <c:strCache>
                <c:ptCount val="1"/>
                <c:pt idx="0">
                  <c:v>PRE</c:v>
                </c:pt>
              </c:strCache>
            </c:strRef>
          </c:tx>
          <c:spPr>
            <a:ln w="19050">
              <a:solidFill>
                <a:srgbClr val="187E3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ysDash"/>
              </a:ln>
            </c:spPr>
            <c:trendlineType val="linear"/>
            <c:dispRSqr val="0"/>
            <c:dispEq val="1"/>
            <c:trendlineLbl>
              <c:layout>
                <c:manualLayout>
                  <c:x val="-3.5063125583878287E-2"/>
                  <c:y val="-0.50842012774154299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Pre monsonn  y = 0.349x + 22.76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cat>
            <c:numRef>
              <c:f>Longterm!$A$4:$A$13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Longterm!$D$4:$D$13</c:f>
              <c:numCache>
                <c:formatCode>0.00</c:formatCode>
                <c:ptCount val="10"/>
                <c:pt idx="0">
                  <c:v>18.691249999999997</c:v>
                </c:pt>
                <c:pt idx="1">
                  <c:v>24.456250000000001</c:v>
                </c:pt>
                <c:pt idx="2">
                  <c:v>26.116250000000001</c:v>
                </c:pt>
                <c:pt idx="3">
                  <c:v>27.247499999999999</c:v>
                </c:pt>
                <c:pt idx="4">
                  <c:v>25.243750000000002</c:v>
                </c:pt>
                <c:pt idx="5">
                  <c:v>24.766249999999999</c:v>
                </c:pt>
                <c:pt idx="6">
                  <c:v>23.806249999999999</c:v>
                </c:pt>
                <c:pt idx="7">
                  <c:v>24.770000000000003</c:v>
                </c:pt>
                <c:pt idx="8">
                  <c:v>25.533749999999998</c:v>
                </c:pt>
                <c:pt idx="9">
                  <c:v>26.206250000000001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679-4520-A318-A9BBFDFF6116}"/>
            </c:ext>
          </c:extLst>
        </c:ser>
        <c:ser>
          <c:idx val="3"/>
          <c:order val="3"/>
          <c:tx>
            <c:strRef>
              <c:f>Longterm!$E$3</c:f>
              <c:strCache>
                <c:ptCount val="1"/>
                <c:pt idx="0">
                  <c:v>POST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4.1089490932277532E-2"/>
                  <c:y val="-0.41845200680387057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Post Monsoon  y = 0.358x + 21.13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cat>
            <c:numRef>
              <c:f>Longterm!$A$4:$A$13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Longterm!$E$4:$E$13</c:f>
              <c:numCache>
                <c:formatCode>0.00</c:formatCode>
                <c:ptCount val="10"/>
                <c:pt idx="0">
                  <c:v>17.262499999999999</c:v>
                </c:pt>
                <c:pt idx="1">
                  <c:v>22.067499999999999</c:v>
                </c:pt>
                <c:pt idx="2">
                  <c:v>26.952500000000001</c:v>
                </c:pt>
                <c:pt idx="3">
                  <c:v>24.973749999999995</c:v>
                </c:pt>
                <c:pt idx="4">
                  <c:v>22.109999999999996</c:v>
                </c:pt>
                <c:pt idx="5">
                  <c:v>21.947499999999998</c:v>
                </c:pt>
                <c:pt idx="6">
                  <c:v>23.651250000000001</c:v>
                </c:pt>
                <c:pt idx="7">
                  <c:v>23.118749999999999</c:v>
                </c:pt>
                <c:pt idx="8">
                  <c:v>24.267499999999998</c:v>
                </c:pt>
                <c:pt idx="9">
                  <c:v>24.713750000000001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679-4520-A318-A9BBFDFF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22683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8695223341552618"/>
              <c:y val="0.936611903556401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RAINFALL  (mm)</a:t>
                </a:r>
              </a:p>
            </c:rich>
          </c:tx>
          <c:layout>
            <c:manualLayout>
              <c:xMode val="edge"/>
              <c:yMode val="edge"/>
              <c:x val="6.5275193336572154E-3"/>
              <c:y val="0.406906786319115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2683647"/>
        <c:crosses val="autoZero"/>
        <c:crossBetween val="between"/>
      </c:valAx>
      <c:catAx>
        <c:axId val="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axMin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WATER LEVEL bgl (m)</a:t>
                </a:r>
              </a:p>
            </c:rich>
          </c:tx>
          <c:layout>
            <c:manualLayout>
              <c:xMode val="edge"/>
              <c:yMode val="edge"/>
              <c:x val="0.96690261214437834"/>
              <c:y val="0.407941523939219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9.8016310242942564E-2"/>
          <c:y val="0.8776833051079258"/>
          <c:w val="0.81680278905765413"/>
          <c:h val="5.150223184407931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13</xdr:row>
      <xdr:rowOff>152400</xdr:rowOff>
    </xdr:from>
    <xdr:to>
      <xdr:col>13</xdr:col>
      <xdr:colOff>47625</xdr:colOff>
      <xdr:row>41</xdr:row>
      <xdr:rowOff>57150</xdr:rowOff>
    </xdr:to>
    <xdr:graphicFrame macro="">
      <xdr:nvGraphicFramePr>
        <xdr:cNvPr id="10349" name="Chart 2">
          <a:extLst>
            <a:ext uri="{FF2B5EF4-FFF2-40B4-BE49-F238E27FC236}">
              <a16:creationId xmlns:a16="http://schemas.microsoft.com/office/drawing/2014/main" id="{0EE785F9-1798-40D4-860C-27CF5F5B4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on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9%20aug%2017\test%20Ba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l1984-2010"/>
      <sheetName val="RWHS"/>
      <sheetName val="RWHSTonk"/>
      <sheetName val="RWHSDeoli"/>
      <sheetName val="Sheet2"/>
      <sheetName val="wl2006-2011"/>
      <sheetName val="Sheet1"/>
      <sheetName val="wl2008-11"/>
      <sheetName val="wl for assesment"/>
      <sheetName val="wl2011"/>
      <sheetName val="monitoring station ccounting"/>
      <sheetName val="defunt piezo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F1" t="str">
            <v xml:space="preserve">   Co-ordinates</v>
          </cell>
        </row>
        <row r="2">
          <cell r="F2" t="str">
            <v>Longitude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ss"/>
      <sheetName val="WaterLevel"/>
      <sheetName val="DraftComp"/>
      <sheetName val="Draft"/>
      <sheetName val="Drf. Irr. Area"/>
      <sheetName val="MonthlyRF"/>
      <sheetName val="Longterm"/>
      <sheetName val="NormalRF"/>
      <sheetName val="Seepage12"/>
      <sheetName val="Projected25"/>
      <sheetName val="Reccomendation"/>
      <sheetName val="Trend 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A4">
            <v>2007</v>
          </cell>
        </row>
        <row r="5">
          <cell r="A5">
            <v>2008</v>
          </cell>
        </row>
        <row r="6">
          <cell r="A6">
            <v>2009</v>
          </cell>
        </row>
        <row r="7">
          <cell r="A7">
            <v>2010</v>
          </cell>
        </row>
        <row r="8">
          <cell r="A8">
            <v>2011</v>
          </cell>
        </row>
        <row r="9">
          <cell r="A9">
            <v>2012</v>
          </cell>
        </row>
        <row r="10">
          <cell r="A10">
            <v>2013</v>
          </cell>
        </row>
        <row r="11">
          <cell r="A11">
            <v>2014</v>
          </cell>
        </row>
        <row r="12">
          <cell r="A12">
            <v>2015</v>
          </cell>
        </row>
        <row r="13">
          <cell r="A13">
            <v>2016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tabSelected="1" view="pageBreakPreview" topLeftCell="Q1" zoomScaleNormal="100" zoomScaleSheetLayoutView="100" workbookViewId="0">
      <pane ySplit="6" topLeftCell="A7" activePane="bottomLeft" state="frozen"/>
      <selection activeCell="BV11" sqref="BV11:BW11"/>
      <selection pane="bottomLeft" activeCell="AB8" sqref="I8:CC12"/>
    </sheetView>
  </sheetViews>
  <sheetFormatPr defaultRowHeight="12.75"/>
  <cols>
    <col min="1" max="1" width="6.85546875" style="4" customWidth="1"/>
    <col min="2" max="2" width="9.85546875" style="4" bestFit="1" customWidth="1"/>
    <col min="3" max="3" width="8.85546875" style="4" customWidth="1"/>
    <col min="4" max="4" width="9" style="4" customWidth="1"/>
    <col min="5" max="5" width="9.85546875" style="4" customWidth="1"/>
    <col min="6" max="6" width="11.85546875" style="4" customWidth="1"/>
    <col min="7" max="7" width="10.7109375" style="4" customWidth="1"/>
    <col min="8" max="8" width="9" style="4" customWidth="1"/>
    <col min="9" max="9" width="11.7109375" style="4" customWidth="1"/>
    <col min="10" max="10" width="10.5703125" style="4" customWidth="1"/>
    <col min="11" max="11" width="9.85546875" style="4" bestFit="1" customWidth="1"/>
    <col min="12" max="12" width="8.7109375" style="4" bestFit="1" customWidth="1"/>
    <col min="13" max="14" width="10.140625" style="4" bestFit="1" customWidth="1"/>
    <col min="15" max="15" width="10.42578125" style="4" customWidth="1"/>
    <col min="16" max="16" width="10.5703125" style="4" customWidth="1"/>
    <col min="17" max="17" width="13.42578125" style="4" bestFit="1" customWidth="1"/>
    <col min="18" max="18" width="7.140625" style="4" bestFit="1" customWidth="1"/>
    <col min="19" max="19" width="9.140625" style="4"/>
    <col min="20" max="20" width="11.140625" style="4" bestFit="1" customWidth="1"/>
    <col min="21" max="21" width="10.85546875" style="4" bestFit="1" customWidth="1"/>
    <col min="22" max="22" width="10.42578125" style="4" bestFit="1" customWidth="1"/>
    <col min="23" max="23" width="10.85546875" style="4" bestFit="1" customWidth="1"/>
    <col min="24" max="24" width="10.5703125" style="4" customWidth="1"/>
    <col min="25" max="25" width="10.42578125" style="4" bestFit="1" customWidth="1"/>
    <col min="26" max="26" width="10.85546875" style="4" customWidth="1"/>
    <col min="27" max="27" width="6.140625" style="4" bestFit="1" customWidth="1"/>
    <col min="28" max="28" width="8.85546875" style="4" bestFit="1" customWidth="1"/>
    <col min="29" max="29" width="7" style="4" bestFit="1" customWidth="1"/>
    <col min="30" max="30" width="11.28515625" style="4" customWidth="1"/>
    <col min="31" max="31" width="9.85546875" style="4" bestFit="1" customWidth="1"/>
    <col min="32" max="32" width="8.5703125" style="4" customWidth="1"/>
    <col min="33" max="33" width="11.42578125" style="4" customWidth="1"/>
    <col min="34" max="34" width="6.85546875" style="4" bestFit="1" customWidth="1"/>
    <col min="35" max="35" width="8.140625" style="4" bestFit="1" customWidth="1"/>
    <col min="36" max="36" width="9.7109375" style="4" customWidth="1"/>
    <col min="37" max="37" width="6.140625" style="4" bestFit="1" customWidth="1"/>
    <col min="38" max="38" width="9.140625" style="4"/>
    <col min="39" max="39" width="10.7109375" style="4" bestFit="1" customWidth="1"/>
    <col min="40" max="40" width="10.42578125" style="4" customWidth="1"/>
    <col min="41" max="41" width="11.140625" style="4" customWidth="1"/>
    <col min="42" max="42" width="9.140625" style="4"/>
    <col min="43" max="43" width="9.28515625" style="4" bestFit="1" customWidth="1"/>
    <col min="44" max="44" width="10.5703125" style="4" customWidth="1"/>
    <col min="45" max="45" width="10.85546875" style="4" customWidth="1"/>
    <col min="46" max="46" width="9.28515625" style="4" bestFit="1" customWidth="1"/>
    <col min="47" max="48" width="10" style="4" bestFit="1" customWidth="1"/>
    <col min="49" max="49" width="12.5703125" style="4" customWidth="1"/>
    <col min="50" max="50" width="8.140625" style="4" bestFit="1" customWidth="1"/>
    <col min="51" max="51" width="7.7109375" style="4" bestFit="1" customWidth="1"/>
    <col min="52" max="52" width="8.140625" style="4" bestFit="1" customWidth="1"/>
    <col min="53" max="53" width="9" style="4" bestFit="1" customWidth="1"/>
    <col min="54" max="54" width="12.28515625" style="4" bestFit="1" customWidth="1"/>
    <col min="55" max="55" width="10.7109375" style="4" customWidth="1"/>
    <col min="56" max="56" width="9.85546875" style="4" customWidth="1"/>
    <col min="57" max="57" width="11.28515625" style="4" customWidth="1"/>
    <col min="58" max="58" width="10" style="4" customWidth="1"/>
    <col min="59" max="59" width="9.5703125" style="4" bestFit="1" customWidth="1"/>
    <col min="60" max="60" width="8.42578125" style="4" customWidth="1"/>
    <col min="61" max="61" width="10" style="4" customWidth="1"/>
    <col min="62" max="62" width="10.28515625" style="4" customWidth="1"/>
    <col min="63" max="63" width="13.5703125" style="4" bestFit="1" customWidth="1"/>
    <col min="64" max="64" width="8.85546875" style="4" bestFit="1" customWidth="1"/>
    <col min="65" max="66" width="9.140625" style="4"/>
    <col min="67" max="67" width="7.7109375" style="4" bestFit="1" customWidth="1"/>
    <col min="68" max="68" width="8.140625" style="4" bestFit="1" customWidth="1"/>
    <col min="69" max="75" width="9.140625" style="4"/>
    <col min="76" max="76" width="10.5703125" style="4" customWidth="1"/>
    <col min="77" max="77" width="15.7109375" style="4" bestFit="1" customWidth="1"/>
    <col min="78" max="16384" width="9.140625" style="4"/>
  </cols>
  <sheetData>
    <row r="1" spans="1:81" ht="20.25" customHeight="1">
      <c r="A1" s="427" t="s">
        <v>433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8" t="s">
        <v>433</v>
      </c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7" t="s">
        <v>604</v>
      </c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 t="s">
        <v>433</v>
      </c>
      <c r="AX1" s="427"/>
      <c r="AY1" s="427"/>
      <c r="AZ1" s="427"/>
      <c r="BA1" s="427"/>
      <c r="BB1" s="427"/>
      <c r="BC1" s="427"/>
      <c r="BD1" s="427"/>
      <c r="BE1" s="427"/>
      <c r="BF1" s="427"/>
      <c r="BG1" s="427"/>
      <c r="BH1" s="427"/>
      <c r="BI1" s="427"/>
      <c r="BJ1" s="427"/>
      <c r="BK1" s="427"/>
      <c r="BM1" s="424" t="s">
        <v>433</v>
      </c>
      <c r="BN1" s="424"/>
      <c r="BO1" s="424"/>
      <c r="BP1" s="424"/>
      <c r="BQ1" s="424"/>
      <c r="BR1" s="424"/>
      <c r="BS1" s="424"/>
      <c r="BT1" s="424"/>
      <c r="BU1" s="424"/>
      <c r="BV1" s="424"/>
      <c r="BW1" s="424"/>
      <c r="BX1" s="424"/>
      <c r="BY1" s="424"/>
      <c r="BZ1" s="424"/>
      <c r="CA1" s="424"/>
      <c r="CB1" s="424"/>
      <c r="CC1" s="424"/>
    </row>
    <row r="2" spans="1:81" ht="18.75" customHeight="1">
      <c r="A2" s="427" t="s">
        <v>360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8" t="s">
        <v>361</v>
      </c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8"/>
      <c r="AE2" s="428"/>
      <c r="AF2" s="428"/>
      <c r="AG2" s="427" t="s">
        <v>362</v>
      </c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 t="s">
        <v>363</v>
      </c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  <c r="BI2" s="427"/>
      <c r="BJ2" s="427"/>
      <c r="BK2" s="427"/>
      <c r="BM2" s="424" t="s">
        <v>363</v>
      </c>
      <c r="BN2" s="424"/>
      <c r="BO2" s="424"/>
      <c r="BP2" s="424"/>
      <c r="BQ2" s="424"/>
      <c r="BR2" s="424"/>
      <c r="BS2" s="424"/>
      <c r="BT2" s="424"/>
      <c r="BU2" s="424"/>
      <c r="BV2" s="424"/>
      <c r="BW2" s="424"/>
      <c r="BX2" s="424"/>
      <c r="BY2" s="424"/>
      <c r="BZ2" s="424"/>
      <c r="CA2" s="424"/>
      <c r="CB2" s="424"/>
      <c r="CC2" s="424"/>
    </row>
    <row r="3" spans="1:81" s="59" customFormat="1">
      <c r="BM3" s="129"/>
      <c r="BN3" s="130"/>
      <c r="BO3" s="131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</row>
    <row r="4" spans="1:81" s="280" customFormat="1" ht="98.25" customHeight="1">
      <c r="A4" s="279" t="s">
        <v>364</v>
      </c>
      <c r="B4" s="279" t="s">
        <v>365</v>
      </c>
      <c r="C4" s="279" t="s">
        <v>366</v>
      </c>
      <c r="D4" s="279" t="s">
        <v>367</v>
      </c>
      <c r="E4" s="279" t="s">
        <v>368</v>
      </c>
      <c r="F4" s="279" t="s">
        <v>369</v>
      </c>
      <c r="G4" s="279" t="s">
        <v>370</v>
      </c>
      <c r="H4" s="279" t="s">
        <v>371</v>
      </c>
      <c r="I4" s="279" t="s">
        <v>372</v>
      </c>
      <c r="J4" s="279" t="s">
        <v>373</v>
      </c>
      <c r="K4" s="279" t="s">
        <v>554</v>
      </c>
      <c r="L4" s="279" t="s">
        <v>374</v>
      </c>
      <c r="M4" s="279" t="s">
        <v>375</v>
      </c>
      <c r="N4" s="279" t="s">
        <v>376</v>
      </c>
      <c r="O4" s="425" t="s">
        <v>377</v>
      </c>
      <c r="P4" s="425" t="s">
        <v>378</v>
      </c>
      <c r="Q4" s="425" t="s">
        <v>101</v>
      </c>
      <c r="R4" s="425" t="s">
        <v>379</v>
      </c>
      <c r="S4" s="425" t="s">
        <v>73</v>
      </c>
      <c r="T4" s="279" t="s">
        <v>380</v>
      </c>
      <c r="U4" s="279" t="s">
        <v>381</v>
      </c>
      <c r="V4" s="279" t="s">
        <v>382</v>
      </c>
      <c r="W4" s="279" t="s">
        <v>383</v>
      </c>
      <c r="X4" s="425" t="s">
        <v>384</v>
      </c>
      <c r="Y4" s="425" t="s">
        <v>385</v>
      </c>
      <c r="Z4" s="279" t="s">
        <v>386</v>
      </c>
      <c r="AA4" s="279" t="s">
        <v>387</v>
      </c>
      <c r="AB4" s="279" t="s">
        <v>388</v>
      </c>
      <c r="AC4" s="279" t="s">
        <v>625</v>
      </c>
      <c r="AD4" s="279" t="s">
        <v>389</v>
      </c>
      <c r="AE4" s="279" t="s">
        <v>390</v>
      </c>
      <c r="AF4" s="279" t="s">
        <v>391</v>
      </c>
      <c r="AG4" s="279" t="s">
        <v>101</v>
      </c>
      <c r="AH4" s="279" t="s">
        <v>392</v>
      </c>
      <c r="AI4" s="279" t="s">
        <v>393</v>
      </c>
      <c r="AJ4" s="279" t="s">
        <v>394</v>
      </c>
      <c r="AK4" s="279" t="s">
        <v>395</v>
      </c>
      <c r="AL4" s="279" t="s">
        <v>396</v>
      </c>
      <c r="AM4" s="279" t="s">
        <v>397</v>
      </c>
      <c r="AN4" s="279" t="s">
        <v>398</v>
      </c>
      <c r="AO4" s="279" t="s">
        <v>399</v>
      </c>
      <c r="AP4" s="279" t="s">
        <v>400</v>
      </c>
      <c r="AQ4" s="279" t="s">
        <v>401</v>
      </c>
      <c r="AR4" s="279" t="s">
        <v>578</v>
      </c>
      <c r="AS4" s="279" t="s">
        <v>579</v>
      </c>
      <c r="AT4" s="279" t="s">
        <v>402</v>
      </c>
      <c r="AU4" s="279" t="s">
        <v>403</v>
      </c>
      <c r="AV4" s="279" t="s">
        <v>404</v>
      </c>
      <c r="AW4" s="279" t="s">
        <v>405</v>
      </c>
      <c r="AX4" s="279" t="s">
        <v>406</v>
      </c>
      <c r="AY4" s="279" t="s">
        <v>407</v>
      </c>
      <c r="AZ4" s="279" t="s">
        <v>393</v>
      </c>
      <c r="BA4" s="279" t="s">
        <v>408</v>
      </c>
      <c r="BB4" s="279" t="s">
        <v>409</v>
      </c>
      <c r="BC4" s="279" t="s">
        <v>410</v>
      </c>
      <c r="BD4" s="279" t="s">
        <v>411</v>
      </c>
      <c r="BE4" s="279" t="s">
        <v>412</v>
      </c>
      <c r="BF4" s="279" t="s">
        <v>583</v>
      </c>
      <c r="BG4" s="279" t="s">
        <v>413</v>
      </c>
      <c r="BH4" s="279" t="s">
        <v>414</v>
      </c>
      <c r="BI4" s="279" t="s">
        <v>415</v>
      </c>
      <c r="BJ4" s="279" t="s">
        <v>416</v>
      </c>
      <c r="BK4" s="279" t="s">
        <v>417</v>
      </c>
      <c r="BL4" s="279" t="s">
        <v>513</v>
      </c>
      <c r="BM4" s="281" t="s">
        <v>405</v>
      </c>
      <c r="BN4" s="281" t="s">
        <v>406</v>
      </c>
      <c r="BO4" s="282" t="s">
        <v>407</v>
      </c>
      <c r="BP4" s="281" t="s">
        <v>393</v>
      </c>
      <c r="BQ4" s="283" t="s">
        <v>408</v>
      </c>
      <c r="BR4" s="284" t="s">
        <v>403</v>
      </c>
      <c r="BS4" s="283" t="s">
        <v>404</v>
      </c>
      <c r="BT4" s="283" t="s">
        <v>581</v>
      </c>
      <c r="BU4" s="281" t="s">
        <v>410</v>
      </c>
      <c r="BV4" s="281" t="s">
        <v>411</v>
      </c>
      <c r="BW4" s="281" t="s">
        <v>580</v>
      </c>
      <c r="BX4" s="281" t="s">
        <v>583</v>
      </c>
      <c r="BY4" s="281" t="s">
        <v>413</v>
      </c>
      <c r="BZ4" s="281" t="s">
        <v>414</v>
      </c>
      <c r="CA4" s="281" t="s">
        <v>415</v>
      </c>
      <c r="CB4" s="281" t="s">
        <v>416</v>
      </c>
      <c r="CC4" s="281" t="s">
        <v>417</v>
      </c>
    </row>
    <row r="5" spans="1:81" s="280" customFormat="1" ht="15.75" customHeight="1">
      <c r="A5" s="279"/>
      <c r="B5" s="279" t="s">
        <v>418</v>
      </c>
      <c r="C5" s="279" t="s">
        <v>419</v>
      </c>
      <c r="D5" s="279" t="s">
        <v>420</v>
      </c>
      <c r="E5" s="279" t="s">
        <v>421</v>
      </c>
      <c r="F5" s="279" t="s">
        <v>422</v>
      </c>
      <c r="G5" s="279" t="s">
        <v>422</v>
      </c>
      <c r="H5" s="279" t="s">
        <v>422</v>
      </c>
      <c r="I5" s="279" t="s">
        <v>422</v>
      </c>
      <c r="J5" s="279" t="s">
        <v>422</v>
      </c>
      <c r="K5" s="279" t="s">
        <v>423</v>
      </c>
      <c r="L5" s="279"/>
      <c r="M5" s="279" t="s">
        <v>419</v>
      </c>
      <c r="N5" s="279" t="s">
        <v>419</v>
      </c>
      <c r="O5" s="426"/>
      <c r="P5" s="426"/>
      <c r="Q5" s="426"/>
      <c r="R5" s="426"/>
      <c r="S5" s="426"/>
      <c r="T5" s="279" t="s">
        <v>424</v>
      </c>
      <c r="U5" s="279" t="s">
        <v>422</v>
      </c>
      <c r="V5" s="279" t="s">
        <v>425</v>
      </c>
      <c r="W5" s="279" t="s">
        <v>425</v>
      </c>
      <c r="X5" s="426"/>
      <c r="Y5" s="426"/>
      <c r="Z5" s="279"/>
      <c r="AA5" s="279"/>
      <c r="AB5" s="279" t="s">
        <v>425</v>
      </c>
      <c r="AC5" s="279" t="s">
        <v>420</v>
      </c>
      <c r="AD5" s="279" t="s">
        <v>421</v>
      </c>
      <c r="AE5" s="279" t="s">
        <v>426</v>
      </c>
      <c r="AF5" s="279"/>
      <c r="AG5" s="279"/>
      <c r="AH5" s="279"/>
      <c r="AI5" s="279"/>
      <c r="AJ5" s="279" t="s">
        <v>427</v>
      </c>
      <c r="AK5" s="279"/>
      <c r="AL5" s="279" t="s">
        <v>424</v>
      </c>
      <c r="AM5" s="279" t="s">
        <v>424</v>
      </c>
      <c r="AN5" s="279" t="s">
        <v>421</v>
      </c>
      <c r="AO5" s="279" t="s">
        <v>421</v>
      </c>
      <c r="AP5" s="279" t="s">
        <v>422</v>
      </c>
      <c r="AQ5" s="279" t="s">
        <v>422</v>
      </c>
      <c r="AR5" s="279" t="s">
        <v>425</v>
      </c>
      <c r="AS5" s="279" t="s">
        <v>421</v>
      </c>
      <c r="AT5" s="279" t="s">
        <v>425</v>
      </c>
      <c r="AU5" s="279" t="s">
        <v>425</v>
      </c>
      <c r="AV5" s="279" t="s">
        <v>428</v>
      </c>
      <c r="AW5" s="279"/>
      <c r="AX5" s="279" t="s">
        <v>427</v>
      </c>
      <c r="AY5" s="279"/>
      <c r="AZ5" s="279"/>
      <c r="BA5" s="279" t="s">
        <v>429</v>
      </c>
      <c r="BB5" s="279" t="s">
        <v>425</v>
      </c>
      <c r="BC5" s="279" t="s">
        <v>422</v>
      </c>
      <c r="BD5" s="279" t="s">
        <v>425</v>
      </c>
      <c r="BE5" s="279" t="s">
        <v>422</v>
      </c>
      <c r="BF5" s="279" t="s">
        <v>423</v>
      </c>
      <c r="BG5" s="279" t="s">
        <v>423</v>
      </c>
      <c r="BH5" s="279" t="s">
        <v>420</v>
      </c>
      <c r="BI5" s="279" t="s">
        <v>430</v>
      </c>
      <c r="BJ5" s="279" t="s">
        <v>430</v>
      </c>
      <c r="BK5" s="279"/>
      <c r="BM5" s="281"/>
      <c r="BN5" s="281" t="s">
        <v>427</v>
      </c>
      <c r="BO5" s="281"/>
      <c r="BP5" s="281"/>
      <c r="BQ5" s="281" t="s">
        <v>429</v>
      </c>
      <c r="BR5" s="281" t="s">
        <v>425</v>
      </c>
      <c r="BS5" s="281" t="s">
        <v>428</v>
      </c>
      <c r="BT5" s="281" t="s">
        <v>425</v>
      </c>
      <c r="BU5" s="281" t="s">
        <v>422</v>
      </c>
      <c r="BV5" s="281" t="s">
        <v>425</v>
      </c>
      <c r="BW5" s="281" t="s">
        <v>422</v>
      </c>
      <c r="BX5" s="281" t="s">
        <v>423</v>
      </c>
      <c r="BY5" s="281" t="s">
        <v>423</v>
      </c>
      <c r="BZ5" s="281" t="s">
        <v>420</v>
      </c>
      <c r="CA5" s="281" t="s">
        <v>430</v>
      </c>
      <c r="CB5" s="281" t="s">
        <v>430</v>
      </c>
      <c r="CC5" s="285"/>
    </row>
    <row r="6" spans="1:81" s="277" customFormat="1" ht="12">
      <c r="A6" s="383">
        <v>1</v>
      </c>
      <c r="B6" s="383">
        <v>2</v>
      </c>
      <c r="C6" s="383">
        <v>3</v>
      </c>
      <c r="D6" s="383">
        <v>4</v>
      </c>
      <c r="E6" s="383">
        <v>5</v>
      </c>
      <c r="F6" s="383">
        <v>6</v>
      </c>
      <c r="G6" s="383">
        <v>7</v>
      </c>
      <c r="H6" s="383">
        <v>8</v>
      </c>
      <c r="I6" s="383">
        <v>9</v>
      </c>
      <c r="J6" s="383">
        <v>10</v>
      </c>
      <c r="K6" s="383">
        <v>11</v>
      </c>
      <c r="L6" s="383">
        <v>12</v>
      </c>
      <c r="M6" s="383">
        <v>13</v>
      </c>
      <c r="N6" s="383">
        <v>14</v>
      </c>
      <c r="O6" s="383">
        <v>15</v>
      </c>
      <c r="P6" s="383">
        <v>16</v>
      </c>
      <c r="Q6" s="383">
        <v>17</v>
      </c>
      <c r="R6" s="383">
        <v>18</v>
      </c>
      <c r="S6" s="383">
        <v>19</v>
      </c>
      <c r="T6" s="383">
        <v>20</v>
      </c>
      <c r="U6" s="383">
        <v>21</v>
      </c>
      <c r="V6" s="383">
        <v>22</v>
      </c>
      <c r="W6" s="383">
        <v>23</v>
      </c>
      <c r="X6" s="383">
        <v>24</v>
      </c>
      <c r="Y6" s="383">
        <v>25</v>
      </c>
      <c r="Z6" s="383">
        <v>26</v>
      </c>
      <c r="AA6" s="383">
        <v>27</v>
      </c>
      <c r="AB6" s="383">
        <v>28</v>
      </c>
      <c r="AC6" s="383">
        <v>29</v>
      </c>
      <c r="AD6" s="383">
        <v>30</v>
      </c>
      <c r="AE6" s="383">
        <v>31</v>
      </c>
      <c r="AF6" s="383">
        <v>32</v>
      </c>
      <c r="AG6" s="383">
        <v>33</v>
      </c>
      <c r="AH6" s="383">
        <v>34</v>
      </c>
      <c r="AI6" s="383">
        <v>35</v>
      </c>
      <c r="AJ6" s="383">
        <v>36</v>
      </c>
      <c r="AK6" s="383">
        <v>37</v>
      </c>
      <c r="AL6" s="383">
        <v>38</v>
      </c>
      <c r="AM6" s="383">
        <v>39</v>
      </c>
      <c r="AN6" s="383">
        <v>40</v>
      </c>
      <c r="AO6" s="383">
        <v>41</v>
      </c>
      <c r="AP6" s="383">
        <v>42</v>
      </c>
      <c r="AQ6" s="383">
        <v>43</v>
      </c>
      <c r="AR6" s="383">
        <v>44</v>
      </c>
      <c r="AS6" s="383">
        <v>45</v>
      </c>
      <c r="AT6" s="383">
        <v>46</v>
      </c>
      <c r="AU6" s="383">
        <v>47</v>
      </c>
      <c r="AV6" s="383">
        <v>48</v>
      </c>
      <c r="AW6" s="383">
        <v>49</v>
      </c>
      <c r="AX6" s="383">
        <v>50</v>
      </c>
      <c r="AY6" s="383">
        <v>51</v>
      </c>
      <c r="AZ6" s="383">
        <v>52</v>
      </c>
      <c r="BA6" s="383">
        <v>53</v>
      </c>
      <c r="BB6" s="383">
        <v>54</v>
      </c>
      <c r="BC6" s="383">
        <v>55</v>
      </c>
      <c r="BD6" s="383">
        <v>56</v>
      </c>
      <c r="BE6" s="383">
        <v>57</v>
      </c>
      <c r="BF6" s="383">
        <v>58</v>
      </c>
      <c r="BG6" s="383">
        <v>59</v>
      </c>
      <c r="BH6" s="383">
        <v>60</v>
      </c>
      <c r="BI6" s="383">
        <v>61</v>
      </c>
      <c r="BJ6" s="383">
        <v>62</v>
      </c>
      <c r="BK6" s="383">
        <v>63</v>
      </c>
      <c r="BL6" s="383">
        <v>64</v>
      </c>
      <c r="BM6" s="384">
        <v>1</v>
      </c>
      <c r="BN6" s="384">
        <v>2</v>
      </c>
      <c r="BO6" s="384">
        <v>3</v>
      </c>
      <c r="BP6" s="384">
        <v>4</v>
      </c>
      <c r="BQ6" s="384">
        <v>5</v>
      </c>
      <c r="BR6" s="384">
        <v>6</v>
      </c>
      <c r="BS6" s="384">
        <v>7</v>
      </c>
      <c r="BT6" s="384">
        <v>8</v>
      </c>
      <c r="BU6" s="384">
        <v>9</v>
      </c>
      <c r="BV6" s="384">
        <v>10</v>
      </c>
      <c r="BW6" s="384">
        <v>11</v>
      </c>
      <c r="BX6" s="384">
        <v>12</v>
      </c>
      <c r="BY6" s="384">
        <v>13</v>
      </c>
      <c r="BZ6" s="384">
        <v>14</v>
      </c>
      <c r="CA6" s="384">
        <v>15</v>
      </c>
      <c r="CB6" s="384">
        <v>16</v>
      </c>
      <c r="CC6" s="384">
        <v>17</v>
      </c>
    </row>
    <row r="7" spans="1:81" s="60" customFormat="1">
      <c r="A7" s="278" t="s">
        <v>448</v>
      </c>
      <c r="B7" s="67"/>
      <c r="C7" s="67"/>
      <c r="D7" s="68"/>
      <c r="E7" s="67"/>
      <c r="F7" s="67"/>
      <c r="G7" s="67"/>
      <c r="H7" s="67"/>
      <c r="I7" s="67"/>
      <c r="J7" s="67"/>
      <c r="K7" s="67"/>
      <c r="L7" s="67"/>
      <c r="M7" s="155"/>
      <c r="N7" s="155"/>
      <c r="O7" s="155"/>
      <c r="P7" s="155"/>
      <c r="Q7" s="67"/>
      <c r="R7" s="69"/>
      <c r="S7" s="156"/>
      <c r="T7" s="155"/>
      <c r="U7" s="155"/>
      <c r="V7" s="155"/>
      <c r="W7" s="155"/>
      <c r="X7" s="155"/>
      <c r="Y7" s="155"/>
      <c r="Z7" s="155"/>
      <c r="AA7" s="155"/>
      <c r="AB7" s="156"/>
      <c r="AC7" s="155"/>
      <c r="AD7" s="155"/>
      <c r="AE7" s="155"/>
      <c r="AF7" s="155"/>
      <c r="AG7" s="67"/>
      <c r="AH7" s="69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128"/>
    </row>
    <row r="8" spans="1:81" s="34" customFormat="1" ht="37.9" customHeight="1">
      <c r="A8" s="19">
        <v>2012</v>
      </c>
      <c r="B8" s="19">
        <v>318.25</v>
      </c>
      <c r="C8" s="21">
        <f>'WaterLevel 12-16'!I88</f>
        <v>2.4505882352941128</v>
      </c>
      <c r="D8" s="19">
        <v>0.12</v>
      </c>
      <c r="E8" s="153">
        <f>SUM(ROUND(K8*0.25,4),ROUND(L8*120/365,4))</f>
        <v>15.435499999999999</v>
      </c>
      <c r="F8" s="153">
        <f>ROUND((K8*0.25)*0.15,4)</f>
        <v>2.0693000000000001</v>
      </c>
      <c r="G8" s="19"/>
      <c r="H8" s="19"/>
      <c r="I8" s="22">
        <v>0.5252</v>
      </c>
      <c r="J8" s="161">
        <f>ROUND(((B8*C8*D8)+(E8-F8-I8-G8-H8)),4)</f>
        <v>106.429</v>
      </c>
      <c r="K8" s="154">
        <v>55.18</v>
      </c>
      <c r="L8" s="154">
        <v>4.99</v>
      </c>
      <c r="M8" s="154">
        <f>NormalRF!C6*0.001</f>
        <v>0.39301999999999998</v>
      </c>
      <c r="N8" s="154">
        <f>'MonthlyRF n'!F23*0.001</f>
        <v>0.57699999999999996</v>
      </c>
      <c r="O8" s="153">
        <f>(N8*N8)</f>
        <v>0.33292899999999997</v>
      </c>
      <c r="P8" s="153">
        <f>ROUND(J8*N8,4)</f>
        <v>61.409500000000001</v>
      </c>
      <c r="Q8" s="163" t="str">
        <f>A7</f>
        <v xml:space="preserve">PEESANGAN GW CLUSTER </v>
      </c>
      <c r="R8" s="157" t="s">
        <v>431</v>
      </c>
      <c r="S8" s="157" t="s">
        <v>68</v>
      </c>
      <c r="T8" s="157">
        <f>SUM(N8:N12)</f>
        <v>2.5715000000000003</v>
      </c>
      <c r="U8" s="157">
        <f>SUM(J8:J12)</f>
        <v>329.11680000000001</v>
      </c>
      <c r="V8" s="157">
        <f>SUM(O8:O12)</f>
        <v>1.3887977500000002</v>
      </c>
      <c r="W8" s="157">
        <f>SUM(P8:P12)</f>
        <v>184.7602</v>
      </c>
      <c r="X8" s="157">
        <f>(5*W8-(T8*U8))/(5*V8-(T8*T8))</f>
        <v>233.80399273937635</v>
      </c>
      <c r="Y8" s="157">
        <f>(U8-(X8*T8))/5</f>
        <v>-54.422033465861276</v>
      </c>
      <c r="Z8" s="157">
        <f>ROUND(X8*M12+Y8,4)</f>
        <v>39.910899999999998</v>
      </c>
      <c r="AA8" s="164">
        <v>0.12</v>
      </c>
      <c r="AB8" s="157">
        <f>ROUND(AA8*M12*B12,4)</f>
        <v>15.4085</v>
      </c>
      <c r="AC8" s="164">
        <f>((Z8-AB8)*100)/AB8</f>
        <v>159.01872343187199</v>
      </c>
      <c r="AD8" s="157">
        <f>IF(AC8&lt;-20,AB8*0.8,IF(AC8&gt;20,AB8*1.2,Z8))</f>
        <v>18.490199999999998</v>
      </c>
      <c r="AE8" s="157">
        <f>(F12+G12+H12+I12)</f>
        <v>2.55961858</v>
      </c>
      <c r="AF8" s="157">
        <f>(+AD8+AE8)</f>
        <v>21.049818579999997</v>
      </c>
      <c r="AG8" s="163" t="str">
        <f>Q8</f>
        <v xml:space="preserve">PEESANGAN GW CLUSTER </v>
      </c>
      <c r="AH8" s="158" t="s">
        <v>431</v>
      </c>
      <c r="AI8" s="158" t="s">
        <v>432</v>
      </c>
      <c r="AJ8" s="164">
        <f>B12</f>
        <v>318.25</v>
      </c>
      <c r="AK8" s="164">
        <f>AA8</f>
        <v>0.12</v>
      </c>
      <c r="AL8" s="157">
        <f>NormalRF!M6/1000</f>
        <v>4.0579999999999998E-2</v>
      </c>
      <c r="AM8" s="157">
        <f>M12+AL8</f>
        <v>0.44405000000000006</v>
      </c>
      <c r="AN8" s="188">
        <f>IF(AL8&gt;0.1*AM8,AJ8*AK8*AL8,0)</f>
        <v>0</v>
      </c>
      <c r="AO8" s="157">
        <f>K12*0.75*0.15</f>
        <v>6.0195925311640153</v>
      </c>
      <c r="AP8" s="157">
        <v>0</v>
      </c>
      <c r="AQ8" s="157">
        <v>0</v>
      </c>
      <c r="AR8" s="157">
        <f>'Seep-Tank-III'!H50</f>
        <v>0.92186430000000008</v>
      </c>
      <c r="AS8" s="157">
        <f>SUM(AO8:AR8)</f>
        <v>6.9414568311640155</v>
      </c>
      <c r="AT8" s="157">
        <f>(AN8+AS8)</f>
        <v>6.9414568311640155</v>
      </c>
      <c r="AU8" s="157">
        <f>(AF8+AT8)</f>
        <v>27.991275411164011</v>
      </c>
      <c r="AV8" s="157">
        <f>ROUND(AU8*0.1,4)</f>
        <v>2.7991000000000001</v>
      </c>
      <c r="AW8" s="392" t="str">
        <f>Q8</f>
        <v xml:space="preserve">PEESANGAN GW CLUSTER </v>
      </c>
      <c r="AX8" s="165">
        <f>AJ8</f>
        <v>318.25</v>
      </c>
      <c r="AY8" s="158" t="str">
        <f>AH8</f>
        <v>NC</v>
      </c>
      <c r="AZ8" s="158" t="str">
        <f>AI8</f>
        <v xml:space="preserve">A </v>
      </c>
      <c r="BA8" s="164">
        <f>B8</f>
        <v>318.25</v>
      </c>
      <c r="BB8" s="157">
        <f>(AU8-AV8)</f>
        <v>25.192175411164012</v>
      </c>
      <c r="BC8" s="157">
        <f>Compar!Q8</f>
        <v>53.507489165902363</v>
      </c>
      <c r="BD8" s="157">
        <f>Compar!O8</f>
        <v>6.3564750000000005</v>
      </c>
      <c r="BE8" s="157">
        <f>(BC8+BD8)</f>
        <v>59.863964165902367</v>
      </c>
      <c r="BF8" s="167">
        <f>'Projected Cal. '!E14</f>
        <v>7.4870999999999999</v>
      </c>
      <c r="BG8" s="187">
        <f>BB8-BF8</f>
        <v>17.70507541116401</v>
      </c>
      <c r="BH8" s="164">
        <f>ROUND((BE8*100)/BB8,2)</f>
        <v>237.63</v>
      </c>
      <c r="BI8" s="159" t="str">
        <f>'Trend '!H16</f>
        <v>YES</v>
      </c>
      <c r="BJ8" s="159" t="str">
        <f>'Trend '!I16</f>
        <v>YES</v>
      </c>
      <c r="BK8" s="166" t="str">
        <f>IF(BH8&lt;=70,"SAFE",IF(BH8&lt;=90,"SEMICRITICAL",IF(BH8&lt;=100,"CRITICAL","OVER EXPLO.")))</f>
        <v>OVER EXPLO.</v>
      </c>
      <c r="BL8" s="160">
        <v>0</v>
      </c>
      <c r="BM8" s="167" t="str">
        <f>AW8</f>
        <v xml:space="preserve">PEESANGAN GW CLUSTER </v>
      </c>
      <c r="BN8" s="167">
        <f>AX8</f>
        <v>318.25</v>
      </c>
      <c r="BO8" s="167" t="str">
        <f>AY8</f>
        <v>NC</v>
      </c>
      <c r="BP8" s="167" t="str">
        <f>AZ8</f>
        <v xml:space="preserve">A </v>
      </c>
      <c r="BQ8" s="167">
        <f>BA8</f>
        <v>318.25</v>
      </c>
      <c r="BR8" s="168">
        <f>AU8</f>
        <v>27.991275411164011</v>
      </c>
      <c r="BS8" s="168">
        <f>AV8</f>
        <v>2.7991000000000001</v>
      </c>
      <c r="BT8" s="168">
        <f>BB8</f>
        <v>25.192175411164012</v>
      </c>
      <c r="BU8" s="168">
        <f>BC8</f>
        <v>53.507489165902363</v>
      </c>
      <c r="BV8" s="168">
        <f>BD8</f>
        <v>6.3564750000000005</v>
      </c>
      <c r="BW8" s="168">
        <f>BE8</f>
        <v>59.863964165902367</v>
      </c>
      <c r="BX8" s="167">
        <f>'Projected Cal. '!E14</f>
        <v>7.4870999999999999</v>
      </c>
      <c r="BY8" s="187">
        <f>BT8-BX8</f>
        <v>17.70507541116401</v>
      </c>
      <c r="BZ8" s="169">
        <f>BH8</f>
        <v>237.63</v>
      </c>
      <c r="CA8" s="169" t="str">
        <f>BI8</f>
        <v>YES</v>
      </c>
      <c r="CB8" s="169" t="str">
        <f>BJ8</f>
        <v>YES</v>
      </c>
      <c r="CC8" s="169" t="str">
        <f>BK8</f>
        <v>OVER EXPLO.</v>
      </c>
    </row>
    <row r="9" spans="1:81" s="34" customFormat="1" ht="22.9" customHeight="1">
      <c r="A9" s="19">
        <v>2013</v>
      </c>
      <c r="B9" s="19">
        <v>318.25</v>
      </c>
      <c r="C9" s="21">
        <f>'WaterLevel 12-16'!L88</f>
        <v>0.18411764705882661</v>
      </c>
      <c r="D9" s="19">
        <v>0.12</v>
      </c>
      <c r="E9" s="153">
        <f>SUM(ROUND(K9*0.25,4),ROUND(L9*120/365,4))</f>
        <v>15.8377</v>
      </c>
      <c r="F9" s="153">
        <f>ROUND((K9*0.25)*0.15,4)</f>
        <v>2.0985</v>
      </c>
      <c r="G9" s="19"/>
      <c r="H9" s="19"/>
      <c r="I9" s="22">
        <v>0.3664</v>
      </c>
      <c r="J9" s="161">
        <f>ROUND(((B9*C9*D9)+(E9-F9-I9-G9-H9)),4)</f>
        <v>20.404299999999999</v>
      </c>
      <c r="K9" s="154">
        <v>55.96</v>
      </c>
      <c r="L9" s="154">
        <v>5.62</v>
      </c>
      <c r="M9" s="154">
        <f>NormalRF!E6*0.001</f>
        <v>0.39350000000000002</v>
      </c>
      <c r="N9" s="154">
        <f>'MonthlyRF n'!F24*0.001</f>
        <v>0.40250000000000002</v>
      </c>
      <c r="O9" s="153">
        <f>(N9*N9)</f>
        <v>0.16200625000000002</v>
      </c>
      <c r="P9" s="153">
        <f>ROUND(J9*N9,4)</f>
        <v>8.2126999999999999</v>
      </c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</row>
    <row r="10" spans="1:81" s="34" customFormat="1" ht="22.9" customHeight="1">
      <c r="A10" s="19">
        <v>2014</v>
      </c>
      <c r="B10" s="19">
        <v>318.25</v>
      </c>
      <c r="C10" s="21">
        <f>'WaterLevel 12-16'!O88</f>
        <v>1.6247058823529343</v>
      </c>
      <c r="D10" s="19">
        <v>0.12</v>
      </c>
      <c r="E10" s="153">
        <f>SUM(ROUND(K10*0.25,4),ROUND(L10*120/365,4))</f>
        <v>16.0672</v>
      </c>
      <c r="F10" s="153">
        <f>ROUND((K10*0.25)*0.05,4)</f>
        <v>0.70640000000000003</v>
      </c>
      <c r="G10" s="19"/>
      <c r="H10" s="19"/>
      <c r="I10" s="22">
        <v>0.57720000000000005</v>
      </c>
      <c r="J10" s="161">
        <f>ROUND(((B10*C10*D10)+(E10-F10-I10-G10-H10)),4)</f>
        <v>76.831100000000006</v>
      </c>
      <c r="K10" s="154">
        <v>56.51</v>
      </c>
      <c r="L10" s="154">
        <v>5.9</v>
      </c>
      <c r="M10" s="154">
        <f>NormalRF!G6*0.001</f>
        <v>0.39893000000000001</v>
      </c>
      <c r="N10" s="154">
        <f>'MonthlyRF n'!F25*0.001</f>
        <v>0.63400000000000001</v>
      </c>
      <c r="O10" s="153">
        <f>(N10*N10)</f>
        <v>0.40195600000000004</v>
      </c>
      <c r="P10" s="153">
        <f>ROUND(J10*N10,4)</f>
        <v>48.710900000000002</v>
      </c>
      <c r="BV10" s="423" t="s">
        <v>582</v>
      </c>
      <c r="BW10" s="423"/>
      <c r="BX10" s="34">
        <f>'Projected Cal. '!E30</f>
        <v>10.0341</v>
      </c>
    </row>
    <row r="11" spans="1:81" s="34" customFormat="1" ht="22.9" customHeight="1">
      <c r="A11" s="19">
        <v>2015</v>
      </c>
      <c r="B11" s="19">
        <v>318.25</v>
      </c>
      <c r="C11" s="21">
        <f>'WaterLevel 12-16'!R88</f>
        <v>0.63250000000000384</v>
      </c>
      <c r="D11" s="19">
        <v>0.12</v>
      </c>
      <c r="E11" s="153">
        <f>SUM(ROUND(K11*0.25,4),ROUND(L11*120/365,4))</f>
        <v>16.3935</v>
      </c>
      <c r="F11" s="153">
        <f>ROUND((K11*0.25)*0.15,4)</f>
        <v>2.1547999999999998</v>
      </c>
      <c r="G11" s="19"/>
      <c r="H11" s="19"/>
      <c r="I11" s="22">
        <v>0.31909999999999999</v>
      </c>
      <c r="J11" s="161">
        <f>ROUND(((B11*C11*D11)+(E11-F11-I11-G11-H11)),4)</f>
        <v>38.074800000000003</v>
      </c>
      <c r="K11" s="154">
        <v>57.46</v>
      </c>
      <c r="L11" s="154">
        <v>6.17</v>
      </c>
      <c r="M11" s="154">
        <f>NormalRF!I6*0.001</f>
        <v>0.39903</v>
      </c>
      <c r="N11" s="154">
        <f>'MonthlyRF n'!F26*0.001</f>
        <v>0.35050000000000003</v>
      </c>
      <c r="O11" s="153">
        <f>(N11*N11)</f>
        <v>0.12285025000000002</v>
      </c>
      <c r="P11" s="153">
        <f>ROUND(J11*N11,4)</f>
        <v>13.3452</v>
      </c>
      <c r="BV11" s="423" t="s">
        <v>584</v>
      </c>
      <c r="BW11" s="423"/>
      <c r="BX11" s="167">
        <f>'Projected Cal. '!E14</f>
        <v>7.4870999999999999</v>
      </c>
    </row>
    <row r="12" spans="1:81" s="34" customFormat="1" ht="22.9" customHeight="1">
      <c r="A12" s="19">
        <v>2016</v>
      </c>
      <c r="B12" s="19">
        <v>318.25</v>
      </c>
      <c r="C12" s="21">
        <f>'WaterLevel 12-16'!U88</f>
        <v>1.9499999999999993</v>
      </c>
      <c r="D12" s="19">
        <v>0.12</v>
      </c>
      <c r="E12" s="153">
        <f>SUM(ROUND(K12*0.25,4),ROUND(L12*120/365,4))</f>
        <v>15.466699999999999</v>
      </c>
      <c r="F12" s="153">
        <f>ROUND((K12*0.25)*0.15,4)</f>
        <v>2.0065</v>
      </c>
      <c r="G12" s="19"/>
      <c r="H12" s="19"/>
      <c r="I12" s="22">
        <f>'Seep-Tank-III'!I50</f>
        <v>0.55311857999999992</v>
      </c>
      <c r="J12" s="161">
        <f>ROUND(((B12*C12*D12)+(E12-F12-I12-G12-H12)),4)</f>
        <v>87.377600000000001</v>
      </c>
      <c r="K12" s="154">
        <f>Compar!Q8</f>
        <v>53.507489165902363</v>
      </c>
      <c r="L12" s="154">
        <f>'Dom Draft IV'!J136</f>
        <v>6.3564750000000005</v>
      </c>
      <c r="M12" s="154">
        <f>NormalRF!K6*0.001</f>
        <v>0.40347000000000005</v>
      </c>
      <c r="N12" s="154">
        <f>'MonthlyRF n'!F27*0.001</f>
        <v>0.60750000000000004</v>
      </c>
      <c r="O12" s="153">
        <f>(N12*N12)</f>
        <v>0.36905625000000003</v>
      </c>
      <c r="P12" s="153">
        <f>ROUND(J12*N12,4)</f>
        <v>53.081899999999997</v>
      </c>
    </row>
    <row r="14" spans="1:81">
      <c r="A14" s="170" t="s">
        <v>555</v>
      </c>
    </row>
    <row r="28" spans="9:9">
      <c r="I28" s="70"/>
    </row>
  </sheetData>
  <mergeCells count="19">
    <mergeCell ref="X4:X5"/>
    <mergeCell ref="A1:P1"/>
    <mergeCell ref="Q1:AF1"/>
    <mergeCell ref="AW1:BK1"/>
    <mergeCell ref="A2:P2"/>
    <mergeCell ref="Q2:AF2"/>
    <mergeCell ref="AG2:AV2"/>
    <mergeCell ref="AW2:BK2"/>
    <mergeCell ref="AG1:AV1"/>
    <mergeCell ref="BV10:BW10"/>
    <mergeCell ref="BV11:BW11"/>
    <mergeCell ref="BM1:CC1"/>
    <mergeCell ref="BM2:CC2"/>
    <mergeCell ref="Y4:Y5"/>
    <mergeCell ref="O4:O5"/>
    <mergeCell ref="P4:P5"/>
    <mergeCell ref="Q4:Q5"/>
    <mergeCell ref="R4:R5"/>
    <mergeCell ref="S4:S5"/>
  </mergeCells>
  <printOptions horizontalCentered="1"/>
  <pageMargins left="1" right="0.25" top="1" bottom="0.25" header="0.51111111111111096" footer="0.28958333333333303"/>
  <pageSetup paperSize="9" scale="77" orientation="landscape" horizontalDpi="300" verticalDpi="300" r:id="rId1"/>
  <headerFooter alignWithMargins="0"/>
  <colBreaks count="4" manualBreakCount="4">
    <brk id="16" max="26" man="1"/>
    <brk id="32" max="1048575" man="1"/>
    <brk id="48" max="1048575" man="1"/>
    <brk id="6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V11" sqref="BV11:BW11"/>
    </sheetView>
  </sheetViews>
  <sheetFormatPr defaultRowHeight="12.75"/>
  <cols>
    <col min="1" max="1" width="9.140625" style="3"/>
    <col min="2" max="2" width="15.85546875" style="3" customWidth="1"/>
    <col min="3" max="4" width="11.5703125" style="3" customWidth="1"/>
    <col min="5" max="6" width="14.28515625" style="3" customWidth="1"/>
    <col min="7" max="7" width="13.7109375" style="3" customWidth="1"/>
    <col min="8" max="8" width="14.140625" style="3" customWidth="1"/>
    <col min="9" max="9" width="12" style="3" customWidth="1"/>
    <col min="10" max="10" width="13" style="3" customWidth="1"/>
    <col min="11" max="16384" width="9.140625" style="3"/>
  </cols>
  <sheetData>
    <row r="1" spans="1:10" ht="15.75">
      <c r="A1" s="429" t="s">
        <v>111</v>
      </c>
      <c r="B1" s="429"/>
      <c r="C1" s="429"/>
      <c r="D1" s="429"/>
      <c r="E1" s="429"/>
      <c r="F1" s="429"/>
      <c r="G1" s="429"/>
      <c r="H1" s="429"/>
      <c r="I1" s="429"/>
      <c r="J1" s="429"/>
    </row>
    <row r="2" spans="1:10" ht="99.75">
      <c r="A2" s="1" t="s">
        <v>45</v>
      </c>
      <c r="B2" s="1" t="s">
        <v>57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</row>
    <row r="3" spans="1:10" ht="15">
      <c r="A3" s="294">
        <v>1</v>
      </c>
      <c r="B3" s="294">
        <v>2</v>
      </c>
      <c r="C3" s="294">
        <v>3</v>
      </c>
      <c r="D3" s="294">
        <v>4</v>
      </c>
      <c r="E3" s="294">
        <v>5</v>
      </c>
      <c r="F3" s="294">
        <v>6</v>
      </c>
      <c r="G3" s="294">
        <v>7</v>
      </c>
      <c r="H3" s="294">
        <v>8</v>
      </c>
      <c r="I3" s="294">
        <v>9</v>
      </c>
      <c r="J3" s="294">
        <v>10</v>
      </c>
    </row>
    <row r="4" spans="1:10" s="289" customFormat="1" ht="25.5">
      <c r="A4" s="286">
        <v>1</v>
      </c>
      <c r="B4" s="287" t="s">
        <v>514</v>
      </c>
      <c r="C4" s="288">
        <f>'ASS June2017'!BT8*100</f>
        <v>2519.2175411164012</v>
      </c>
      <c r="D4" s="290">
        <v>0.55000000000000004</v>
      </c>
      <c r="E4" s="291">
        <f>'ASS June2017'!BU8*100</f>
        <v>5350.7489165902361</v>
      </c>
      <c r="F4" s="292">
        <f>E4/D4</f>
        <v>9728.6343938004284</v>
      </c>
      <c r="G4" s="292">
        <f>'ASS June2017'!BF8*100</f>
        <v>748.71</v>
      </c>
      <c r="H4" s="292">
        <f>C4-E4-G4</f>
        <v>-3580.241375473835</v>
      </c>
      <c r="I4" s="292">
        <f>H4/D4</f>
        <v>-6509.5297735887907</v>
      </c>
      <c r="J4" s="293">
        <f>F4+I4</f>
        <v>3219.1046202116377</v>
      </c>
    </row>
    <row r="6" spans="1:10" ht="39.75" customHeight="1">
      <c r="A6" s="430" t="s">
        <v>116</v>
      </c>
      <c r="B6" s="430"/>
      <c r="C6" s="430"/>
      <c r="D6" s="430"/>
      <c r="E6" s="430"/>
      <c r="F6" s="430"/>
      <c r="G6" s="430"/>
      <c r="H6" s="430"/>
      <c r="I6" s="430"/>
      <c r="J6" s="430"/>
    </row>
  </sheetData>
  <mergeCells count="2">
    <mergeCell ref="A1:J1"/>
    <mergeCell ref="A6:J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view="pageBreakPreview" zoomScale="60" zoomScaleNormal="100" workbookViewId="0">
      <selection activeCell="I3" sqref="I3"/>
    </sheetView>
  </sheetViews>
  <sheetFormatPr defaultRowHeight="12.75"/>
  <cols>
    <col min="1" max="1" width="5.5703125" style="4" customWidth="1"/>
    <col min="2" max="2" width="16.7109375" style="4" bestFit="1" customWidth="1"/>
    <col min="3" max="3" width="8.42578125" style="4" customWidth="1"/>
    <col min="4" max="4" width="15.7109375" style="4" customWidth="1"/>
    <col min="5" max="5" width="10.5703125" style="4" customWidth="1"/>
    <col min="6" max="6" width="14" style="4" customWidth="1"/>
    <col min="7" max="7" width="15" style="4" customWidth="1"/>
    <col min="8" max="8" width="11.7109375" style="4" customWidth="1"/>
    <col min="9" max="9" width="11.140625" style="4" customWidth="1"/>
    <col min="10" max="10" width="12.42578125" style="4" customWidth="1"/>
    <col min="11" max="11" width="34" style="4" customWidth="1"/>
    <col min="12" max="12" width="11.85546875" style="4" customWidth="1"/>
    <col min="13" max="16384" width="9.140625" style="4"/>
  </cols>
  <sheetData>
    <row r="1" spans="1:11" ht="28.5" customHeight="1">
      <c r="B1" s="431" t="s">
        <v>112</v>
      </c>
      <c r="C1" s="431"/>
      <c r="D1" s="431"/>
      <c r="E1" s="431"/>
      <c r="F1" s="431"/>
      <c r="G1" s="431"/>
      <c r="H1" s="431"/>
      <c r="I1" s="431"/>
      <c r="J1" s="431"/>
      <c r="K1" s="431"/>
    </row>
    <row r="2" spans="1:11"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s="7" customFormat="1" ht="100.5" customHeight="1">
      <c r="A3" s="47" t="s">
        <v>56</v>
      </c>
      <c r="B3" s="46" t="s">
        <v>54</v>
      </c>
      <c r="C3" s="47" t="s">
        <v>58</v>
      </c>
      <c r="D3" s="47" t="s">
        <v>59</v>
      </c>
      <c r="E3" s="47" t="s">
        <v>60</v>
      </c>
      <c r="F3" s="47" t="s">
        <v>120</v>
      </c>
      <c r="G3" s="47" t="s">
        <v>61</v>
      </c>
      <c r="H3" s="47" t="s">
        <v>62</v>
      </c>
      <c r="I3" s="47" t="s">
        <v>63</v>
      </c>
      <c r="J3" s="47" t="s">
        <v>64</v>
      </c>
      <c r="K3" s="47" t="s">
        <v>65</v>
      </c>
    </row>
    <row r="4" spans="1:11" ht="14.25">
      <c r="A4" s="8">
        <v>1</v>
      </c>
      <c r="B4" s="2">
        <v>2</v>
      </c>
      <c r="C4" s="8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</row>
    <row r="5" spans="1:11" s="10" customFormat="1" ht="18.75" customHeight="1">
      <c r="A5" s="19">
        <v>1</v>
      </c>
      <c r="B5" s="20" t="s">
        <v>77</v>
      </c>
      <c r="C5" s="19" t="s">
        <v>68</v>
      </c>
      <c r="D5" s="20" t="s">
        <v>69</v>
      </c>
      <c r="E5" s="19" t="s">
        <v>66</v>
      </c>
      <c r="F5" s="22">
        <v>0.18100000000000002</v>
      </c>
      <c r="G5" s="21">
        <v>0.2</v>
      </c>
      <c r="H5" s="22">
        <f>F5*G5</f>
        <v>3.6200000000000003E-2</v>
      </c>
      <c r="I5" s="21">
        <v>0.3</v>
      </c>
      <c r="J5" s="19" t="s">
        <v>67</v>
      </c>
      <c r="K5" s="22">
        <f>H5*I5</f>
        <v>1.086E-2</v>
      </c>
    </row>
    <row r="6" spans="1:11" s="10" customFormat="1" ht="18.75" customHeight="1">
      <c r="A6" s="19">
        <v>2</v>
      </c>
      <c r="B6" s="20" t="s">
        <v>77</v>
      </c>
      <c r="C6" s="19" t="s">
        <v>68</v>
      </c>
      <c r="D6" s="20" t="s">
        <v>69</v>
      </c>
      <c r="E6" s="19" t="s">
        <v>66</v>
      </c>
      <c r="F6" s="22">
        <v>0.18100000000000002</v>
      </c>
      <c r="G6" s="21">
        <v>0.2</v>
      </c>
      <c r="H6" s="22">
        <f t="shared" ref="H6:H48" si="0">F6*G6</f>
        <v>3.6200000000000003E-2</v>
      </c>
      <c r="I6" s="21">
        <v>0.3</v>
      </c>
      <c r="J6" s="19" t="s">
        <v>67</v>
      </c>
      <c r="K6" s="22">
        <f t="shared" ref="K6:K48" si="1">H6*I6</f>
        <v>1.086E-2</v>
      </c>
    </row>
    <row r="7" spans="1:11" s="10" customFormat="1" ht="18.75" customHeight="1">
      <c r="A7" s="19">
        <v>3</v>
      </c>
      <c r="B7" s="20" t="s">
        <v>2</v>
      </c>
      <c r="C7" s="19" t="s">
        <v>68</v>
      </c>
      <c r="D7" s="20" t="s">
        <v>69</v>
      </c>
      <c r="E7" s="19" t="s">
        <v>66</v>
      </c>
      <c r="F7" s="22">
        <v>0.1086</v>
      </c>
      <c r="G7" s="21">
        <v>0.2</v>
      </c>
      <c r="H7" s="22">
        <f t="shared" si="0"/>
        <v>2.1720000000000003E-2</v>
      </c>
      <c r="I7" s="21">
        <v>0.3</v>
      </c>
      <c r="J7" s="19" t="s">
        <v>67</v>
      </c>
      <c r="K7" s="22">
        <f t="shared" si="1"/>
        <v>6.516000000000001E-3</v>
      </c>
    </row>
    <row r="8" spans="1:11" s="10" customFormat="1" ht="18.75" customHeight="1">
      <c r="A8" s="19">
        <v>4</v>
      </c>
      <c r="B8" s="20" t="s">
        <v>3</v>
      </c>
      <c r="C8" s="19" t="s">
        <v>68</v>
      </c>
      <c r="D8" s="20" t="s">
        <v>69</v>
      </c>
      <c r="E8" s="19" t="s">
        <v>66</v>
      </c>
      <c r="F8" s="22">
        <v>1.1312500000000001E-2</v>
      </c>
      <c r="G8" s="21">
        <v>0.2</v>
      </c>
      <c r="H8" s="22">
        <f t="shared" si="0"/>
        <v>2.2625000000000002E-3</v>
      </c>
      <c r="I8" s="21">
        <v>0.3</v>
      </c>
      <c r="J8" s="19" t="s">
        <v>67</v>
      </c>
      <c r="K8" s="22">
        <f t="shared" si="1"/>
        <v>6.7874999999999999E-4</v>
      </c>
    </row>
    <row r="9" spans="1:11" s="10" customFormat="1" ht="18.75" customHeight="1">
      <c r="A9" s="19">
        <v>5</v>
      </c>
      <c r="B9" s="20" t="s">
        <v>3</v>
      </c>
      <c r="C9" s="19" t="s">
        <v>68</v>
      </c>
      <c r="D9" s="20" t="s">
        <v>69</v>
      </c>
      <c r="E9" s="19" t="s">
        <v>66</v>
      </c>
      <c r="F9" s="22">
        <v>1.1312500000000001E-2</v>
      </c>
      <c r="G9" s="21">
        <v>0.2</v>
      </c>
      <c r="H9" s="22">
        <f t="shared" si="0"/>
        <v>2.2625000000000002E-3</v>
      </c>
      <c r="I9" s="21">
        <v>0.3</v>
      </c>
      <c r="J9" s="19" t="s">
        <v>67</v>
      </c>
      <c r="K9" s="22">
        <f t="shared" si="1"/>
        <v>6.7874999999999999E-4</v>
      </c>
    </row>
    <row r="10" spans="1:11" s="10" customFormat="1" ht="18.75" customHeight="1">
      <c r="A10" s="19">
        <v>6</v>
      </c>
      <c r="B10" s="20" t="s">
        <v>6</v>
      </c>
      <c r="C10" s="19" t="s">
        <v>68</v>
      </c>
      <c r="D10" s="20" t="s">
        <v>69</v>
      </c>
      <c r="E10" s="19" t="s">
        <v>66</v>
      </c>
      <c r="F10" s="22">
        <v>0.18100000000000002</v>
      </c>
      <c r="G10" s="21">
        <v>0.2</v>
      </c>
      <c r="H10" s="22">
        <f t="shared" si="0"/>
        <v>3.6200000000000003E-2</v>
      </c>
      <c r="I10" s="21">
        <v>0.3</v>
      </c>
      <c r="J10" s="19" t="s">
        <v>67</v>
      </c>
      <c r="K10" s="22">
        <f t="shared" si="1"/>
        <v>1.086E-2</v>
      </c>
    </row>
    <row r="11" spans="1:11" s="10" customFormat="1" ht="18.75" customHeight="1">
      <c r="A11" s="19">
        <v>7</v>
      </c>
      <c r="B11" s="20" t="s">
        <v>78</v>
      </c>
      <c r="C11" s="19" t="s">
        <v>68</v>
      </c>
      <c r="D11" s="20" t="s">
        <v>69</v>
      </c>
      <c r="E11" s="19" t="s">
        <v>66</v>
      </c>
      <c r="F11" s="22">
        <v>4.0724999999999997E-3</v>
      </c>
      <c r="G11" s="21">
        <v>0.2</v>
      </c>
      <c r="H11" s="22">
        <f t="shared" si="0"/>
        <v>8.1450000000000001E-4</v>
      </c>
      <c r="I11" s="21">
        <v>0.3</v>
      </c>
      <c r="J11" s="19"/>
      <c r="K11" s="22">
        <f t="shared" si="1"/>
        <v>2.4435E-4</v>
      </c>
    </row>
    <row r="12" spans="1:11" s="10" customFormat="1" ht="18.75" customHeight="1">
      <c r="A12" s="19">
        <v>8</v>
      </c>
      <c r="B12" s="20" t="s">
        <v>8</v>
      </c>
      <c r="C12" s="19" t="s">
        <v>68</v>
      </c>
      <c r="D12" s="20" t="s">
        <v>69</v>
      </c>
      <c r="E12" s="19" t="s">
        <v>66</v>
      </c>
      <c r="F12" s="22">
        <v>0.16289999999999999</v>
      </c>
      <c r="G12" s="21">
        <v>0.2</v>
      </c>
      <c r="H12" s="22">
        <f t="shared" si="0"/>
        <v>3.2579999999999998E-2</v>
      </c>
      <c r="I12" s="21">
        <v>0.3</v>
      </c>
      <c r="J12" s="19" t="s">
        <v>67</v>
      </c>
      <c r="K12" s="22">
        <f t="shared" si="1"/>
        <v>9.7739999999999997E-3</v>
      </c>
    </row>
    <row r="13" spans="1:11" s="10" customFormat="1" ht="18.75" customHeight="1">
      <c r="A13" s="19">
        <v>9</v>
      </c>
      <c r="B13" s="20" t="s">
        <v>12</v>
      </c>
      <c r="C13" s="19" t="s">
        <v>68</v>
      </c>
      <c r="D13" s="20" t="s">
        <v>69</v>
      </c>
      <c r="E13" s="19" t="s">
        <v>66</v>
      </c>
      <c r="F13" s="22">
        <v>0.1991</v>
      </c>
      <c r="G13" s="21">
        <v>0.2</v>
      </c>
      <c r="H13" s="22">
        <f t="shared" si="0"/>
        <v>3.9820000000000001E-2</v>
      </c>
      <c r="I13" s="21">
        <v>0.3</v>
      </c>
      <c r="J13" s="19" t="s">
        <v>67</v>
      </c>
      <c r="K13" s="22">
        <f t="shared" si="1"/>
        <v>1.1946E-2</v>
      </c>
    </row>
    <row r="14" spans="1:11" s="10" customFormat="1" ht="18.75" customHeight="1">
      <c r="A14" s="19">
        <v>10</v>
      </c>
      <c r="B14" s="20" t="s">
        <v>12</v>
      </c>
      <c r="C14" s="19" t="s">
        <v>68</v>
      </c>
      <c r="D14" s="20" t="s">
        <v>69</v>
      </c>
      <c r="E14" s="19" t="s">
        <v>66</v>
      </c>
      <c r="F14" s="22">
        <v>0.18100000000000002</v>
      </c>
      <c r="G14" s="21">
        <v>0.2</v>
      </c>
      <c r="H14" s="22">
        <f t="shared" si="0"/>
        <v>3.6200000000000003E-2</v>
      </c>
      <c r="I14" s="21">
        <v>0.3</v>
      </c>
      <c r="J14" s="19" t="s">
        <v>67</v>
      </c>
      <c r="K14" s="22">
        <f t="shared" si="1"/>
        <v>1.086E-2</v>
      </c>
    </row>
    <row r="15" spans="1:11" s="10" customFormat="1" ht="18.75" customHeight="1">
      <c r="A15" s="19">
        <v>11</v>
      </c>
      <c r="B15" s="20" t="s">
        <v>13</v>
      </c>
      <c r="C15" s="19" t="s">
        <v>68</v>
      </c>
      <c r="D15" s="20" t="s">
        <v>69</v>
      </c>
      <c r="E15" s="19" t="s">
        <v>66</v>
      </c>
      <c r="F15" s="22">
        <v>0.1991</v>
      </c>
      <c r="G15" s="21">
        <v>0.2</v>
      </c>
      <c r="H15" s="22">
        <f t="shared" si="0"/>
        <v>3.9820000000000001E-2</v>
      </c>
      <c r="I15" s="21">
        <v>0.3</v>
      </c>
      <c r="J15" s="19"/>
      <c r="K15" s="22">
        <f t="shared" si="1"/>
        <v>1.1946E-2</v>
      </c>
    </row>
    <row r="16" spans="1:11" s="10" customFormat="1" ht="18.75" customHeight="1">
      <c r="A16" s="19">
        <v>12</v>
      </c>
      <c r="B16" s="20" t="s">
        <v>13</v>
      </c>
      <c r="C16" s="19" t="s">
        <v>68</v>
      </c>
      <c r="D16" s="20" t="s">
        <v>69</v>
      </c>
      <c r="E16" s="19" t="s">
        <v>66</v>
      </c>
      <c r="F16" s="22">
        <v>1.0859999999999999E-3</v>
      </c>
      <c r="G16" s="21">
        <v>0.2</v>
      </c>
      <c r="H16" s="22">
        <f t="shared" si="0"/>
        <v>2.1719999999999999E-4</v>
      </c>
      <c r="I16" s="21">
        <v>0.3</v>
      </c>
      <c r="J16" s="19" t="s">
        <v>67</v>
      </c>
      <c r="K16" s="22">
        <f t="shared" si="1"/>
        <v>6.5159999999999993E-5</v>
      </c>
    </row>
    <row r="17" spans="1:11" s="10" customFormat="1" ht="18.75" customHeight="1">
      <c r="A17" s="19">
        <v>13</v>
      </c>
      <c r="B17" s="20" t="s">
        <v>55</v>
      </c>
      <c r="C17" s="19" t="s">
        <v>68</v>
      </c>
      <c r="D17" s="20" t="s">
        <v>69</v>
      </c>
      <c r="E17" s="19" t="s">
        <v>66</v>
      </c>
      <c r="F17" s="22">
        <v>0.14480000000000001</v>
      </c>
      <c r="G17" s="21">
        <v>0.2</v>
      </c>
      <c r="H17" s="22">
        <f t="shared" si="0"/>
        <v>2.8960000000000003E-2</v>
      </c>
      <c r="I17" s="21">
        <v>0.3</v>
      </c>
      <c r="J17" s="19" t="s">
        <v>67</v>
      </c>
      <c r="K17" s="22">
        <f t="shared" si="1"/>
        <v>8.6880000000000013E-3</v>
      </c>
    </row>
    <row r="18" spans="1:11" s="10" customFormat="1" ht="18.75" customHeight="1">
      <c r="A18" s="19">
        <v>14</v>
      </c>
      <c r="B18" s="20" t="s">
        <v>55</v>
      </c>
      <c r="C18" s="19" t="s">
        <v>68</v>
      </c>
      <c r="D18" s="20" t="s">
        <v>69</v>
      </c>
      <c r="E18" s="19" t="s">
        <v>66</v>
      </c>
      <c r="F18" s="22">
        <v>0.16289999999999999</v>
      </c>
      <c r="G18" s="21">
        <v>0.2</v>
      </c>
      <c r="H18" s="22">
        <f t="shared" si="0"/>
        <v>3.2579999999999998E-2</v>
      </c>
      <c r="I18" s="21">
        <v>0.3</v>
      </c>
      <c r="J18" s="19" t="s">
        <v>67</v>
      </c>
      <c r="K18" s="22">
        <f t="shared" si="1"/>
        <v>9.7739999999999997E-3</v>
      </c>
    </row>
    <row r="19" spans="1:11" s="10" customFormat="1" ht="18.75" customHeight="1">
      <c r="A19" s="19">
        <v>15</v>
      </c>
      <c r="B19" s="20" t="s">
        <v>55</v>
      </c>
      <c r="C19" s="19" t="s">
        <v>68</v>
      </c>
      <c r="D19" s="20" t="s">
        <v>69</v>
      </c>
      <c r="E19" s="19" t="s">
        <v>66</v>
      </c>
      <c r="F19" s="22">
        <v>0.18100000000000002</v>
      </c>
      <c r="G19" s="21">
        <v>0.2</v>
      </c>
      <c r="H19" s="22">
        <f t="shared" si="0"/>
        <v>3.6200000000000003E-2</v>
      </c>
      <c r="I19" s="21">
        <v>0.3</v>
      </c>
      <c r="J19" s="19" t="s">
        <v>67</v>
      </c>
      <c r="K19" s="22">
        <f t="shared" si="1"/>
        <v>1.086E-2</v>
      </c>
    </row>
    <row r="20" spans="1:11" s="10" customFormat="1" ht="18.75" customHeight="1">
      <c r="A20" s="19">
        <v>16</v>
      </c>
      <c r="B20" s="20" t="s">
        <v>55</v>
      </c>
      <c r="C20" s="19" t="s">
        <v>68</v>
      </c>
      <c r="D20" s="20" t="s">
        <v>69</v>
      </c>
      <c r="E20" s="19" t="s">
        <v>66</v>
      </c>
      <c r="F20" s="22">
        <v>0.18100000000000002</v>
      </c>
      <c r="G20" s="21">
        <v>0.2</v>
      </c>
      <c r="H20" s="22">
        <f t="shared" si="0"/>
        <v>3.6200000000000003E-2</v>
      </c>
      <c r="I20" s="21">
        <v>0.3</v>
      </c>
      <c r="J20" s="19" t="s">
        <v>67</v>
      </c>
      <c r="K20" s="22">
        <f t="shared" si="1"/>
        <v>1.086E-2</v>
      </c>
    </row>
    <row r="21" spans="1:11" ht="18" customHeight="1">
      <c r="A21" s="19">
        <v>17</v>
      </c>
      <c r="B21" s="20" t="s">
        <v>55</v>
      </c>
      <c r="C21" s="19" t="s">
        <v>68</v>
      </c>
      <c r="D21" s="20" t="s">
        <v>69</v>
      </c>
      <c r="E21" s="19" t="s">
        <v>66</v>
      </c>
      <c r="F21" s="22">
        <v>0.14480000000000001</v>
      </c>
      <c r="G21" s="21">
        <v>0.2</v>
      </c>
      <c r="H21" s="22">
        <f t="shared" si="0"/>
        <v>2.8960000000000003E-2</v>
      </c>
      <c r="I21" s="21">
        <v>0.3</v>
      </c>
      <c r="J21" s="19" t="s">
        <v>67</v>
      </c>
      <c r="K21" s="22">
        <f t="shared" si="1"/>
        <v>8.6880000000000013E-3</v>
      </c>
    </row>
    <row r="22" spans="1:11" ht="18" customHeight="1">
      <c r="A22" s="19">
        <v>18</v>
      </c>
      <c r="B22" s="20" t="s">
        <v>55</v>
      </c>
      <c r="C22" s="19" t="s">
        <v>68</v>
      </c>
      <c r="D22" s="20" t="s">
        <v>69</v>
      </c>
      <c r="E22" s="19" t="s">
        <v>66</v>
      </c>
      <c r="F22" s="22">
        <v>0.16289999999999999</v>
      </c>
      <c r="G22" s="21">
        <v>0.2</v>
      </c>
      <c r="H22" s="22">
        <f t="shared" si="0"/>
        <v>3.2579999999999998E-2</v>
      </c>
      <c r="I22" s="21">
        <v>0.3</v>
      </c>
      <c r="J22" s="19" t="s">
        <v>67</v>
      </c>
      <c r="K22" s="22">
        <f t="shared" si="1"/>
        <v>9.7739999999999997E-3</v>
      </c>
    </row>
    <row r="23" spans="1:11" ht="18" customHeight="1">
      <c r="A23" s="19">
        <v>19</v>
      </c>
      <c r="B23" s="20" t="s">
        <v>17</v>
      </c>
      <c r="C23" s="19" t="s">
        <v>68</v>
      </c>
      <c r="D23" s="20" t="s">
        <v>69</v>
      </c>
      <c r="E23" s="19" t="s">
        <v>66</v>
      </c>
      <c r="F23" s="22">
        <v>0.18100000000000002</v>
      </c>
      <c r="G23" s="21">
        <v>0.2</v>
      </c>
      <c r="H23" s="22">
        <f t="shared" si="0"/>
        <v>3.6200000000000003E-2</v>
      </c>
      <c r="I23" s="21">
        <v>0.3</v>
      </c>
      <c r="J23" s="19" t="s">
        <v>67</v>
      </c>
      <c r="K23" s="22">
        <f t="shared" si="1"/>
        <v>1.086E-2</v>
      </c>
    </row>
    <row r="24" spans="1:11" ht="18" customHeight="1">
      <c r="A24" s="19">
        <v>20</v>
      </c>
      <c r="B24" s="20" t="s">
        <v>19</v>
      </c>
      <c r="C24" s="19" t="s">
        <v>68</v>
      </c>
      <c r="D24" s="20" t="s">
        <v>69</v>
      </c>
      <c r="E24" s="19" t="s">
        <v>66</v>
      </c>
      <c r="F24" s="22">
        <v>0.1991</v>
      </c>
      <c r="G24" s="21">
        <v>0.2</v>
      </c>
      <c r="H24" s="22">
        <f t="shared" si="0"/>
        <v>3.9820000000000001E-2</v>
      </c>
      <c r="I24" s="21">
        <v>0.3</v>
      </c>
      <c r="J24" s="19" t="s">
        <v>67</v>
      </c>
      <c r="K24" s="22">
        <f t="shared" si="1"/>
        <v>1.1946E-2</v>
      </c>
    </row>
    <row r="25" spans="1:11" ht="18" customHeight="1">
      <c r="A25" s="19">
        <v>21</v>
      </c>
      <c r="B25" s="20" t="s">
        <v>118</v>
      </c>
      <c r="C25" s="19" t="s">
        <v>68</v>
      </c>
      <c r="D25" s="20" t="s">
        <v>69</v>
      </c>
      <c r="E25" s="19" t="s">
        <v>66</v>
      </c>
      <c r="F25" s="22">
        <v>1.1584000000000002E-3</v>
      </c>
      <c r="G25" s="21">
        <v>0.2</v>
      </c>
      <c r="H25" s="22">
        <f t="shared" si="0"/>
        <v>2.3168000000000006E-4</v>
      </c>
      <c r="I25" s="21">
        <v>0.3</v>
      </c>
      <c r="J25" s="19" t="s">
        <v>67</v>
      </c>
      <c r="K25" s="22">
        <f t="shared" si="1"/>
        <v>6.9504000000000018E-5</v>
      </c>
    </row>
    <row r="26" spans="1:11" ht="18" customHeight="1">
      <c r="A26" s="19">
        <v>22</v>
      </c>
      <c r="B26" s="20" t="s">
        <v>20</v>
      </c>
      <c r="C26" s="19" t="s">
        <v>68</v>
      </c>
      <c r="D26" s="20" t="s">
        <v>69</v>
      </c>
      <c r="E26" s="19" t="s">
        <v>66</v>
      </c>
      <c r="F26" s="22">
        <v>0.14480000000000001</v>
      </c>
      <c r="G26" s="21">
        <v>0.2</v>
      </c>
      <c r="H26" s="22">
        <f t="shared" si="0"/>
        <v>2.8960000000000003E-2</v>
      </c>
      <c r="I26" s="21">
        <v>0.3</v>
      </c>
      <c r="J26" s="19" t="s">
        <v>67</v>
      </c>
      <c r="K26" s="22">
        <f t="shared" si="1"/>
        <v>8.6880000000000013E-3</v>
      </c>
    </row>
    <row r="27" spans="1:11" ht="18" customHeight="1">
      <c r="A27" s="19">
        <v>23</v>
      </c>
      <c r="B27" s="20" t="s">
        <v>23</v>
      </c>
      <c r="C27" s="19" t="s">
        <v>68</v>
      </c>
      <c r="D27" s="20" t="s">
        <v>69</v>
      </c>
      <c r="E27" s="19" t="s">
        <v>66</v>
      </c>
      <c r="F27" s="22">
        <v>1.1312500000000001E-2</v>
      </c>
      <c r="G27" s="21">
        <v>0.2</v>
      </c>
      <c r="H27" s="22">
        <f t="shared" si="0"/>
        <v>2.2625000000000002E-3</v>
      </c>
      <c r="I27" s="21">
        <v>0.3</v>
      </c>
      <c r="J27" s="19" t="s">
        <v>67</v>
      </c>
      <c r="K27" s="22">
        <f t="shared" si="1"/>
        <v>6.7874999999999999E-4</v>
      </c>
    </row>
    <row r="28" spans="1:11" ht="18" customHeight="1">
      <c r="A28" s="19">
        <v>24</v>
      </c>
      <c r="B28" s="20" t="s">
        <v>23</v>
      </c>
      <c r="C28" s="19" t="s">
        <v>68</v>
      </c>
      <c r="D28" s="20" t="s">
        <v>69</v>
      </c>
      <c r="E28" s="19" t="s">
        <v>66</v>
      </c>
      <c r="F28" s="22">
        <v>1.1312500000000001E-2</v>
      </c>
      <c r="G28" s="21">
        <v>0.2</v>
      </c>
      <c r="H28" s="22">
        <f t="shared" si="0"/>
        <v>2.2625000000000002E-3</v>
      </c>
      <c r="I28" s="21">
        <v>0.3</v>
      </c>
      <c r="J28" s="19" t="s">
        <v>67</v>
      </c>
      <c r="K28" s="22">
        <f t="shared" si="1"/>
        <v>6.7874999999999999E-4</v>
      </c>
    </row>
    <row r="29" spans="1:11" ht="18" customHeight="1">
      <c r="A29" s="19">
        <v>25</v>
      </c>
      <c r="B29" s="20" t="s">
        <v>27</v>
      </c>
      <c r="C29" s="19" t="s">
        <v>68</v>
      </c>
      <c r="D29" s="20" t="s">
        <v>69</v>
      </c>
      <c r="E29" s="19" t="s">
        <v>66</v>
      </c>
      <c r="F29" s="22">
        <v>1.8100000000000002E-3</v>
      </c>
      <c r="G29" s="21">
        <v>0.2</v>
      </c>
      <c r="H29" s="22">
        <f t="shared" si="0"/>
        <v>3.6200000000000007E-4</v>
      </c>
      <c r="I29" s="21">
        <v>0.3</v>
      </c>
      <c r="J29" s="19" t="s">
        <v>67</v>
      </c>
      <c r="K29" s="22">
        <f t="shared" si="1"/>
        <v>1.0860000000000002E-4</v>
      </c>
    </row>
    <row r="30" spans="1:11" ht="22.5" customHeight="1">
      <c r="A30" s="19">
        <v>26</v>
      </c>
      <c r="B30" s="20" t="s">
        <v>27</v>
      </c>
      <c r="C30" s="19" t="s">
        <v>68</v>
      </c>
      <c r="D30" s="20" t="s">
        <v>69</v>
      </c>
      <c r="E30" s="19" t="s">
        <v>66</v>
      </c>
      <c r="F30" s="22">
        <v>1.8100000000000002E-3</v>
      </c>
      <c r="G30" s="21">
        <v>0.2</v>
      </c>
      <c r="H30" s="22">
        <f t="shared" si="0"/>
        <v>3.6200000000000007E-4</v>
      </c>
      <c r="I30" s="21">
        <v>0.3</v>
      </c>
      <c r="J30" s="19" t="s">
        <v>67</v>
      </c>
      <c r="K30" s="22">
        <f t="shared" si="1"/>
        <v>1.0860000000000002E-4</v>
      </c>
    </row>
    <row r="31" spans="1:11" ht="18" customHeight="1">
      <c r="A31" s="19">
        <v>27</v>
      </c>
      <c r="B31" s="20" t="s">
        <v>27</v>
      </c>
      <c r="C31" s="19" t="s">
        <v>68</v>
      </c>
      <c r="D31" s="20" t="s">
        <v>69</v>
      </c>
      <c r="E31" s="19" t="s">
        <v>66</v>
      </c>
      <c r="F31" s="22">
        <v>1.1584000000000002E-3</v>
      </c>
      <c r="G31" s="21">
        <v>0.2</v>
      </c>
      <c r="H31" s="22">
        <f t="shared" si="0"/>
        <v>2.3168000000000006E-4</v>
      </c>
      <c r="I31" s="21">
        <v>0.3</v>
      </c>
      <c r="J31" s="19" t="s">
        <v>67</v>
      </c>
      <c r="K31" s="22">
        <f t="shared" si="1"/>
        <v>6.9504000000000018E-5</v>
      </c>
    </row>
    <row r="32" spans="1:11" ht="18" customHeight="1">
      <c r="A32" s="19">
        <v>28</v>
      </c>
      <c r="B32" s="20" t="s">
        <v>27</v>
      </c>
      <c r="C32" s="19" t="s">
        <v>68</v>
      </c>
      <c r="D32" s="20" t="s">
        <v>69</v>
      </c>
      <c r="E32" s="19" t="s">
        <v>66</v>
      </c>
      <c r="F32" s="22">
        <v>1.8100000000000002E-3</v>
      </c>
      <c r="G32" s="21">
        <v>0.2</v>
      </c>
      <c r="H32" s="22">
        <f t="shared" si="0"/>
        <v>3.6200000000000007E-4</v>
      </c>
      <c r="I32" s="21">
        <v>0.3</v>
      </c>
      <c r="J32" s="19" t="s">
        <v>67</v>
      </c>
      <c r="K32" s="22">
        <f t="shared" si="1"/>
        <v>1.0860000000000002E-4</v>
      </c>
    </row>
    <row r="33" spans="1:11" ht="18" customHeight="1">
      <c r="A33" s="19">
        <v>29</v>
      </c>
      <c r="B33" s="20" t="s">
        <v>27</v>
      </c>
      <c r="C33" s="19" t="s">
        <v>68</v>
      </c>
      <c r="D33" s="20" t="s">
        <v>69</v>
      </c>
      <c r="E33" s="19" t="s">
        <v>66</v>
      </c>
      <c r="F33" s="22">
        <v>1.8100000000000002E-3</v>
      </c>
      <c r="G33" s="21">
        <v>0.2</v>
      </c>
      <c r="H33" s="22">
        <f t="shared" si="0"/>
        <v>3.6200000000000007E-4</v>
      </c>
      <c r="I33" s="21">
        <v>0.3</v>
      </c>
      <c r="J33" s="19" t="s">
        <v>67</v>
      </c>
      <c r="K33" s="22">
        <f t="shared" si="1"/>
        <v>1.0860000000000002E-4</v>
      </c>
    </row>
    <row r="34" spans="1:11" ht="18" customHeight="1">
      <c r="A34" s="19">
        <v>30</v>
      </c>
      <c r="B34" s="20" t="s">
        <v>79</v>
      </c>
      <c r="C34" s="19" t="s">
        <v>68</v>
      </c>
      <c r="D34" s="20" t="s">
        <v>69</v>
      </c>
      <c r="E34" s="19" t="s">
        <v>66</v>
      </c>
      <c r="F34" s="22">
        <v>0.1991</v>
      </c>
      <c r="G34" s="21">
        <v>0.2</v>
      </c>
      <c r="H34" s="22">
        <f t="shared" si="0"/>
        <v>3.9820000000000001E-2</v>
      </c>
      <c r="I34" s="21">
        <v>0.3</v>
      </c>
      <c r="J34" s="19" t="s">
        <v>67</v>
      </c>
      <c r="K34" s="22">
        <f t="shared" si="1"/>
        <v>1.1946E-2</v>
      </c>
    </row>
    <row r="35" spans="1:11" ht="18" customHeight="1">
      <c r="A35" s="19">
        <v>31</v>
      </c>
      <c r="B35" s="20" t="s">
        <v>29</v>
      </c>
      <c r="C35" s="19" t="s">
        <v>68</v>
      </c>
      <c r="D35" s="20" t="s">
        <v>69</v>
      </c>
      <c r="E35" s="19" t="s">
        <v>66</v>
      </c>
      <c r="F35" s="22">
        <v>0.1991</v>
      </c>
      <c r="G35" s="21">
        <v>0.2</v>
      </c>
      <c r="H35" s="22">
        <f t="shared" si="0"/>
        <v>3.9820000000000001E-2</v>
      </c>
      <c r="I35" s="21">
        <v>0.3</v>
      </c>
      <c r="J35" s="19" t="s">
        <v>67</v>
      </c>
      <c r="K35" s="22">
        <f t="shared" si="1"/>
        <v>1.1946E-2</v>
      </c>
    </row>
    <row r="36" spans="1:11" ht="18" customHeight="1">
      <c r="A36" s="19">
        <v>32</v>
      </c>
      <c r="B36" s="20" t="s">
        <v>30</v>
      </c>
      <c r="C36" s="19" t="s">
        <v>68</v>
      </c>
      <c r="D36" s="20" t="s">
        <v>69</v>
      </c>
      <c r="E36" s="19" t="s">
        <v>66</v>
      </c>
      <c r="F36" s="22">
        <v>2.1719999999999999E-3</v>
      </c>
      <c r="G36" s="21">
        <v>0.2</v>
      </c>
      <c r="H36" s="22">
        <f t="shared" si="0"/>
        <v>4.3439999999999999E-4</v>
      </c>
      <c r="I36" s="21">
        <v>0.3</v>
      </c>
      <c r="J36" s="19" t="s">
        <v>67</v>
      </c>
      <c r="K36" s="22">
        <f t="shared" si="1"/>
        <v>1.3031999999999999E-4</v>
      </c>
    </row>
    <row r="37" spans="1:11" ht="18" customHeight="1">
      <c r="A37" s="19">
        <v>33</v>
      </c>
      <c r="B37" s="20" t="s">
        <v>30</v>
      </c>
      <c r="C37" s="19" t="s">
        <v>68</v>
      </c>
      <c r="D37" s="20" t="s">
        <v>69</v>
      </c>
      <c r="E37" s="19" t="s">
        <v>66</v>
      </c>
      <c r="F37" s="22">
        <v>0.18100000000000002</v>
      </c>
      <c r="G37" s="21">
        <v>0.2</v>
      </c>
      <c r="H37" s="22">
        <f t="shared" si="0"/>
        <v>3.6200000000000003E-2</v>
      </c>
      <c r="I37" s="21">
        <v>0.3</v>
      </c>
      <c r="J37" s="19" t="s">
        <v>67</v>
      </c>
      <c r="K37" s="22">
        <f t="shared" si="1"/>
        <v>1.086E-2</v>
      </c>
    </row>
    <row r="38" spans="1:11" ht="18" customHeight="1">
      <c r="A38" s="19">
        <v>34</v>
      </c>
      <c r="B38" s="20" t="s">
        <v>31</v>
      </c>
      <c r="C38" s="19" t="s">
        <v>68</v>
      </c>
      <c r="D38" s="20" t="s">
        <v>69</v>
      </c>
      <c r="E38" s="19" t="s">
        <v>66</v>
      </c>
      <c r="F38" s="22">
        <v>0.18100000000000002</v>
      </c>
      <c r="G38" s="21">
        <v>0.2</v>
      </c>
      <c r="H38" s="22">
        <f t="shared" si="0"/>
        <v>3.6200000000000003E-2</v>
      </c>
      <c r="I38" s="21">
        <v>0.3</v>
      </c>
      <c r="J38" s="19" t="s">
        <v>67</v>
      </c>
      <c r="K38" s="22">
        <f t="shared" si="1"/>
        <v>1.086E-2</v>
      </c>
    </row>
    <row r="39" spans="1:11" ht="18" customHeight="1">
      <c r="A39" s="19">
        <v>35</v>
      </c>
      <c r="B39" s="20" t="s">
        <v>31</v>
      </c>
      <c r="C39" s="19" t="s">
        <v>68</v>
      </c>
      <c r="D39" s="20" t="s">
        <v>69</v>
      </c>
      <c r="E39" s="19" t="s">
        <v>66</v>
      </c>
      <c r="F39" s="22">
        <v>1.1312500000000001E-2</v>
      </c>
      <c r="G39" s="21">
        <v>0.2</v>
      </c>
      <c r="H39" s="22">
        <f t="shared" si="0"/>
        <v>2.2625000000000002E-3</v>
      </c>
      <c r="I39" s="21">
        <v>0.3</v>
      </c>
      <c r="J39" s="19" t="s">
        <v>67</v>
      </c>
      <c r="K39" s="22">
        <f t="shared" si="1"/>
        <v>6.7874999999999999E-4</v>
      </c>
    </row>
    <row r="40" spans="1:11" ht="18" customHeight="1">
      <c r="A40" s="19">
        <v>36</v>
      </c>
      <c r="B40" s="20" t="s">
        <v>34</v>
      </c>
      <c r="C40" s="19" t="s">
        <v>68</v>
      </c>
      <c r="D40" s="20" t="s">
        <v>69</v>
      </c>
      <c r="E40" s="19" t="s">
        <v>66</v>
      </c>
      <c r="F40" s="22">
        <v>0.17919000000000002</v>
      </c>
      <c r="G40" s="21">
        <v>0.2</v>
      </c>
      <c r="H40" s="22">
        <f t="shared" si="0"/>
        <v>3.5838000000000002E-2</v>
      </c>
      <c r="I40" s="21">
        <v>0.3</v>
      </c>
      <c r="J40" s="19" t="s">
        <v>67</v>
      </c>
      <c r="K40" s="22">
        <f t="shared" si="1"/>
        <v>1.0751399999999999E-2</v>
      </c>
    </row>
    <row r="41" spans="1:11" ht="18" customHeight="1">
      <c r="A41" s="19">
        <v>37</v>
      </c>
      <c r="B41" s="20" t="s">
        <v>34</v>
      </c>
      <c r="C41" s="19" t="s">
        <v>68</v>
      </c>
      <c r="D41" s="20" t="s">
        <v>69</v>
      </c>
      <c r="E41" s="19" t="s">
        <v>66</v>
      </c>
      <c r="F41" s="22">
        <v>0.14480000000000001</v>
      </c>
      <c r="G41" s="21">
        <v>0.2</v>
      </c>
      <c r="H41" s="22">
        <f t="shared" si="0"/>
        <v>2.8960000000000003E-2</v>
      </c>
      <c r="I41" s="21">
        <v>0.3</v>
      </c>
      <c r="J41" s="19" t="s">
        <v>67</v>
      </c>
      <c r="K41" s="22">
        <f t="shared" si="1"/>
        <v>8.6880000000000013E-3</v>
      </c>
    </row>
    <row r="42" spans="1:11" ht="18" customHeight="1">
      <c r="A42" s="19">
        <v>38</v>
      </c>
      <c r="B42" s="20" t="s">
        <v>34</v>
      </c>
      <c r="C42" s="19" t="s">
        <v>68</v>
      </c>
      <c r="D42" s="20" t="s">
        <v>69</v>
      </c>
      <c r="E42" s="19" t="s">
        <v>66</v>
      </c>
      <c r="F42" s="22">
        <v>1.1312500000000001E-2</v>
      </c>
      <c r="G42" s="21">
        <v>0.2</v>
      </c>
      <c r="H42" s="22">
        <f t="shared" si="0"/>
        <v>2.2625000000000002E-3</v>
      </c>
      <c r="I42" s="21">
        <v>0.3</v>
      </c>
      <c r="J42" s="19" t="s">
        <v>67</v>
      </c>
      <c r="K42" s="22">
        <f t="shared" si="1"/>
        <v>6.7874999999999999E-4</v>
      </c>
    </row>
    <row r="43" spans="1:11" ht="18" customHeight="1">
      <c r="A43" s="19">
        <v>39</v>
      </c>
      <c r="B43" s="20" t="s">
        <v>37</v>
      </c>
      <c r="C43" s="19" t="s">
        <v>68</v>
      </c>
      <c r="D43" s="20" t="s">
        <v>69</v>
      </c>
      <c r="E43" s="19" t="s">
        <v>66</v>
      </c>
      <c r="F43" s="22">
        <v>0.1991</v>
      </c>
      <c r="G43" s="21">
        <v>0.2</v>
      </c>
      <c r="H43" s="22">
        <f t="shared" si="0"/>
        <v>3.9820000000000001E-2</v>
      </c>
      <c r="I43" s="21">
        <v>0.3</v>
      </c>
      <c r="J43" s="19" t="s">
        <v>67</v>
      </c>
      <c r="K43" s="22">
        <f t="shared" si="1"/>
        <v>1.1946E-2</v>
      </c>
    </row>
    <row r="44" spans="1:11" ht="18" customHeight="1">
      <c r="A44" s="19">
        <v>40</v>
      </c>
      <c r="B44" s="20" t="s">
        <v>37</v>
      </c>
      <c r="C44" s="19" t="s">
        <v>68</v>
      </c>
      <c r="D44" s="20" t="s">
        <v>69</v>
      </c>
      <c r="E44" s="19" t="s">
        <v>66</v>
      </c>
      <c r="F44" s="22">
        <v>0.14480000000000001</v>
      </c>
      <c r="G44" s="21">
        <v>0.2</v>
      </c>
      <c r="H44" s="22">
        <f t="shared" si="0"/>
        <v>2.8960000000000003E-2</v>
      </c>
      <c r="I44" s="21">
        <v>0.3</v>
      </c>
      <c r="J44" s="19" t="s">
        <v>67</v>
      </c>
      <c r="K44" s="22">
        <f t="shared" si="1"/>
        <v>8.6880000000000013E-3</v>
      </c>
    </row>
    <row r="45" spans="1:11" ht="18" customHeight="1">
      <c r="A45" s="19">
        <v>41</v>
      </c>
      <c r="B45" s="20" t="s">
        <v>80</v>
      </c>
      <c r="C45" s="19" t="s">
        <v>68</v>
      </c>
      <c r="D45" s="20" t="s">
        <v>69</v>
      </c>
      <c r="E45" s="19" t="s">
        <v>66</v>
      </c>
      <c r="F45" s="22">
        <v>0.14480000000000001</v>
      </c>
      <c r="G45" s="21">
        <v>0.2</v>
      </c>
      <c r="H45" s="22">
        <f t="shared" si="0"/>
        <v>2.8960000000000003E-2</v>
      </c>
      <c r="I45" s="21">
        <v>0.3</v>
      </c>
      <c r="J45" s="19" t="s">
        <v>67</v>
      </c>
      <c r="K45" s="22">
        <f t="shared" si="1"/>
        <v>8.6880000000000013E-3</v>
      </c>
    </row>
    <row r="46" spans="1:11" ht="18" customHeight="1">
      <c r="A46" s="19">
        <v>42</v>
      </c>
      <c r="B46" s="20" t="s">
        <v>42</v>
      </c>
      <c r="C46" s="19" t="s">
        <v>68</v>
      </c>
      <c r="D46" s="20" t="s">
        <v>69</v>
      </c>
      <c r="E46" s="19" t="s">
        <v>66</v>
      </c>
      <c r="F46" s="22">
        <v>0.17919000000000002</v>
      </c>
      <c r="G46" s="21">
        <v>0.2</v>
      </c>
      <c r="H46" s="22">
        <f t="shared" si="0"/>
        <v>3.5838000000000002E-2</v>
      </c>
      <c r="I46" s="21">
        <v>0.3</v>
      </c>
      <c r="J46" s="19" t="s">
        <v>67</v>
      </c>
      <c r="K46" s="22">
        <f t="shared" si="1"/>
        <v>1.0751399999999999E-2</v>
      </c>
    </row>
    <row r="47" spans="1:11" ht="18" customHeight="1">
      <c r="A47" s="19">
        <v>43</v>
      </c>
      <c r="B47" s="20" t="s">
        <v>42</v>
      </c>
      <c r="C47" s="19" t="s">
        <v>68</v>
      </c>
      <c r="D47" s="20" t="s">
        <v>69</v>
      </c>
      <c r="E47" s="19" t="s">
        <v>66</v>
      </c>
      <c r="F47" s="22">
        <v>0.18100000000000002</v>
      </c>
      <c r="G47" s="21">
        <v>0.2</v>
      </c>
      <c r="H47" s="22">
        <f t="shared" si="0"/>
        <v>3.6200000000000003E-2</v>
      </c>
      <c r="I47" s="21">
        <v>0.3</v>
      </c>
      <c r="J47" s="19" t="s">
        <v>67</v>
      </c>
      <c r="K47" s="22">
        <f t="shared" si="1"/>
        <v>1.086E-2</v>
      </c>
    </row>
    <row r="48" spans="1:11" ht="18" customHeight="1">
      <c r="A48" s="19">
        <v>44</v>
      </c>
      <c r="B48" s="20" t="s">
        <v>42</v>
      </c>
      <c r="C48" s="19" t="s">
        <v>68</v>
      </c>
      <c r="D48" s="20" t="s">
        <v>69</v>
      </c>
      <c r="E48" s="19" t="s">
        <v>66</v>
      </c>
      <c r="F48" s="22">
        <v>0.18100000000000002</v>
      </c>
      <c r="G48" s="21">
        <v>0.2</v>
      </c>
      <c r="H48" s="22">
        <f t="shared" si="0"/>
        <v>3.6200000000000003E-2</v>
      </c>
      <c r="I48" s="21">
        <v>0.3</v>
      </c>
      <c r="J48" s="19" t="s">
        <v>67</v>
      </c>
      <c r="K48" s="22">
        <f t="shared" si="1"/>
        <v>1.086E-2</v>
      </c>
    </row>
    <row r="49" spans="1:11" ht="15.75">
      <c r="A49" s="42"/>
      <c r="B49" s="385"/>
      <c r="C49" s="42"/>
      <c r="D49" s="9"/>
      <c r="E49" s="42"/>
      <c r="F49" s="43">
        <v>5.0948422999999989</v>
      </c>
      <c r="G49" s="44"/>
      <c r="H49" s="45"/>
      <c r="I49" s="44"/>
      <c r="J49" s="5"/>
      <c r="K49" s="45"/>
    </row>
    <row r="50" spans="1:11" ht="38.25" customHeight="1">
      <c r="A50" s="430" t="s">
        <v>116</v>
      </c>
      <c r="B50" s="430"/>
      <c r="C50" s="430"/>
      <c r="D50" s="430"/>
      <c r="E50" s="430"/>
      <c r="F50" s="430"/>
      <c r="G50" s="430"/>
      <c r="H50" s="430"/>
      <c r="I50" s="430"/>
      <c r="J50" s="430"/>
      <c r="K50" s="430"/>
    </row>
    <row r="51" spans="1:11">
      <c r="A51" s="430"/>
      <c r="B51" s="430"/>
      <c r="C51" s="430"/>
      <c r="D51" s="430"/>
      <c r="E51" s="430"/>
      <c r="F51" s="430"/>
      <c r="G51" s="430"/>
      <c r="H51" s="430"/>
      <c r="I51" s="430"/>
      <c r="J51" s="430"/>
      <c r="K51" s="430"/>
    </row>
    <row r="52" spans="1:11">
      <c r="A52" s="430"/>
      <c r="B52" s="430"/>
      <c r="C52" s="430"/>
      <c r="D52" s="430"/>
      <c r="E52" s="430"/>
      <c r="F52" s="430"/>
      <c r="G52" s="430"/>
      <c r="H52" s="430"/>
      <c r="I52" s="430"/>
      <c r="J52" s="430"/>
      <c r="K52" s="430"/>
    </row>
    <row r="53" spans="1:11">
      <c r="A53" s="430"/>
      <c r="B53" s="430"/>
      <c r="C53" s="430"/>
      <c r="D53" s="430"/>
      <c r="E53" s="430"/>
      <c r="F53" s="430"/>
      <c r="G53" s="430"/>
      <c r="H53" s="430"/>
      <c r="I53" s="430"/>
      <c r="J53" s="430"/>
      <c r="K53" s="430"/>
    </row>
    <row r="54" spans="1:11">
      <c r="A54" s="430"/>
      <c r="B54" s="430"/>
      <c r="C54" s="430"/>
      <c r="D54" s="430"/>
      <c r="E54" s="430"/>
      <c r="F54" s="430"/>
      <c r="G54" s="430"/>
      <c r="H54" s="430"/>
      <c r="I54" s="430"/>
      <c r="J54" s="430"/>
      <c r="K54" s="430"/>
    </row>
    <row r="55" spans="1:11">
      <c r="A55" s="430"/>
      <c r="B55" s="430"/>
      <c r="C55" s="430"/>
      <c r="D55" s="430"/>
      <c r="E55" s="430"/>
      <c r="F55" s="430"/>
      <c r="G55" s="430"/>
      <c r="H55" s="430"/>
      <c r="I55" s="430"/>
      <c r="J55" s="430"/>
      <c r="K55" s="430"/>
    </row>
    <row r="56" spans="1:11">
      <c r="A56" s="430"/>
      <c r="B56" s="430"/>
      <c r="C56" s="430"/>
      <c r="D56" s="430"/>
      <c r="E56" s="430"/>
      <c r="F56" s="430"/>
      <c r="G56" s="430"/>
      <c r="H56" s="430"/>
      <c r="I56" s="430"/>
      <c r="J56" s="430"/>
      <c r="K56" s="430"/>
    </row>
    <row r="131" spans="2:7" s="5" customFormat="1">
      <c r="E131" s="18"/>
      <c r="F131" s="14"/>
      <c r="G131" s="14"/>
    </row>
    <row r="132" spans="2:7">
      <c r="B132" s="5"/>
      <c r="C132" s="5"/>
      <c r="D132" s="5"/>
      <c r="E132" s="5"/>
      <c r="F132" s="5"/>
    </row>
  </sheetData>
  <mergeCells count="8">
    <mergeCell ref="A55:K55"/>
    <mergeCell ref="A56:K56"/>
    <mergeCell ref="B1:K1"/>
    <mergeCell ref="A50:K50"/>
    <mergeCell ref="A51:K51"/>
    <mergeCell ref="A52:K52"/>
    <mergeCell ref="A53:K53"/>
    <mergeCell ref="A54:K54"/>
  </mergeCells>
  <printOptions horizontalCentered="1"/>
  <pageMargins left="0.25" right="0.25" top="0.5" bottom="0.25" header="0.50972222222222197" footer="0.5"/>
  <pageSetup paperSize="9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view="pageBreakPreview" zoomScale="60" zoomScaleNormal="100" workbookViewId="0">
      <selection activeCell="G5" sqref="G5"/>
    </sheetView>
  </sheetViews>
  <sheetFormatPr defaultColWidth="17.7109375" defaultRowHeight="12.75"/>
  <cols>
    <col min="1" max="1" width="6.7109375" style="4" customWidth="1"/>
    <col min="2" max="2" width="20.5703125" style="4" customWidth="1"/>
    <col min="3" max="3" width="12.28515625" style="4" customWidth="1"/>
    <col min="4" max="4" width="11.42578125" style="4" customWidth="1"/>
    <col min="5" max="5" width="17.5703125" style="4" customWidth="1"/>
    <col min="6" max="6" width="14.140625" style="4" customWidth="1"/>
    <col min="7" max="7" width="18.28515625" style="4" customWidth="1"/>
    <col min="8" max="8" width="19.42578125" style="4" customWidth="1"/>
    <col min="9" max="9" width="14.140625" style="4" customWidth="1"/>
    <col min="10" max="254" width="9.140625" style="4" customWidth="1"/>
    <col min="255" max="255" width="6.7109375" style="4" customWidth="1"/>
    <col min="256" max="16384" width="17.7109375" style="4"/>
  </cols>
  <sheetData>
    <row r="1" spans="1:9" ht="15.75">
      <c r="A1" s="432" t="s">
        <v>71</v>
      </c>
      <c r="B1" s="432"/>
      <c r="C1" s="432"/>
      <c r="D1" s="432"/>
      <c r="E1" s="432"/>
      <c r="F1" s="432"/>
      <c r="G1" s="432"/>
      <c r="H1" s="432"/>
      <c r="I1" s="432"/>
    </row>
    <row r="2" spans="1:9">
      <c r="B2" s="5"/>
      <c r="C2" s="5"/>
      <c r="D2" s="5"/>
      <c r="E2" s="5"/>
      <c r="F2" s="5"/>
      <c r="G2" s="5"/>
      <c r="H2" s="5"/>
      <c r="I2" s="5"/>
    </row>
    <row r="3" spans="1:9" s="25" customFormat="1" ht="48.75" customHeight="1">
      <c r="A3" s="23" t="s">
        <v>45</v>
      </c>
      <c r="B3" s="24" t="s">
        <v>72</v>
      </c>
      <c r="C3" s="24" t="s">
        <v>73</v>
      </c>
      <c r="D3" s="24" t="s">
        <v>74</v>
      </c>
      <c r="E3" s="24" t="s">
        <v>75</v>
      </c>
      <c r="F3" s="24" t="s">
        <v>76</v>
      </c>
      <c r="G3" s="24" t="s">
        <v>575</v>
      </c>
      <c r="H3" s="24" t="s">
        <v>576</v>
      </c>
      <c r="I3" s="24" t="s">
        <v>577</v>
      </c>
    </row>
    <row r="4" spans="1:9" s="5" customFormat="1" ht="12.6" customHeight="1">
      <c r="A4" s="26">
        <v>1</v>
      </c>
      <c r="B4" s="26">
        <v>2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  <c r="H4" s="26">
        <v>8</v>
      </c>
      <c r="I4" s="26">
        <v>9</v>
      </c>
    </row>
    <row r="5" spans="1:9" s="391" customFormat="1" ht="17.25" customHeight="1">
      <c r="A5" s="386">
        <v>1</v>
      </c>
      <c r="B5" s="386" t="s">
        <v>77</v>
      </c>
      <c r="C5" s="386" t="s">
        <v>68</v>
      </c>
      <c r="D5" s="390">
        <v>1</v>
      </c>
      <c r="E5" s="387">
        <v>0.1</v>
      </c>
      <c r="F5" s="388">
        <v>1.4</v>
      </c>
      <c r="G5" s="389">
        <f>SUM((E5*F5)*(240))/1000</f>
        <v>3.3599999999999991E-2</v>
      </c>
      <c r="H5" s="389">
        <f>SUM((E5*F5)*(150))/1000</f>
        <v>2.0999999999999998E-2</v>
      </c>
      <c r="I5" s="389">
        <f>G5-H5</f>
        <v>1.2599999999999993E-2</v>
      </c>
    </row>
    <row r="6" spans="1:9" s="391" customFormat="1" ht="17.25" customHeight="1">
      <c r="A6" s="386">
        <v>2</v>
      </c>
      <c r="B6" s="386" t="s">
        <v>77</v>
      </c>
      <c r="C6" s="386" t="s">
        <v>68</v>
      </c>
      <c r="D6" s="390">
        <v>1</v>
      </c>
      <c r="E6" s="387">
        <v>0.1</v>
      </c>
      <c r="F6" s="388">
        <v>1.4</v>
      </c>
      <c r="G6" s="389">
        <f t="shared" ref="G6:G50" si="0">SUM((E6*F6)*(240))/1000</f>
        <v>3.3599999999999991E-2</v>
      </c>
      <c r="H6" s="389">
        <f t="shared" ref="H6:H49" si="1">SUM((E6*F6)*(150))/1000</f>
        <v>2.0999999999999998E-2</v>
      </c>
      <c r="I6" s="389">
        <f t="shared" ref="I6:I50" si="2">G6-H6</f>
        <v>1.2599999999999993E-2</v>
      </c>
    </row>
    <row r="7" spans="1:9" s="391" customFormat="1" ht="17.25" customHeight="1">
      <c r="A7" s="386">
        <v>3</v>
      </c>
      <c r="B7" s="386" t="s">
        <v>2</v>
      </c>
      <c r="C7" s="386" t="s">
        <v>68</v>
      </c>
      <c r="D7" s="390">
        <v>1</v>
      </c>
      <c r="E7" s="387">
        <v>0.06</v>
      </c>
      <c r="F7" s="388">
        <v>1.4</v>
      </c>
      <c r="G7" s="389">
        <f t="shared" si="0"/>
        <v>2.0159999999999997E-2</v>
      </c>
      <c r="H7" s="389">
        <f t="shared" si="1"/>
        <v>1.2599999999999998E-2</v>
      </c>
      <c r="I7" s="389">
        <f t="shared" si="2"/>
        <v>7.559999999999999E-3</v>
      </c>
    </row>
    <row r="8" spans="1:9" s="391" customFormat="1" ht="17.25" customHeight="1">
      <c r="A8" s="386">
        <v>4</v>
      </c>
      <c r="B8" s="386" t="s">
        <v>3</v>
      </c>
      <c r="C8" s="386" t="s">
        <v>68</v>
      </c>
      <c r="D8" s="390">
        <v>1</v>
      </c>
      <c r="E8" s="387">
        <v>6.2500000000000003E-3</v>
      </c>
      <c r="F8" s="388">
        <v>1.4</v>
      </c>
      <c r="G8" s="389">
        <f t="shared" si="0"/>
        <v>2.0999999999999994E-3</v>
      </c>
      <c r="H8" s="389">
        <f t="shared" si="1"/>
        <v>1.3124999999999999E-3</v>
      </c>
      <c r="I8" s="389">
        <f t="shared" si="2"/>
        <v>7.8749999999999957E-4</v>
      </c>
    </row>
    <row r="9" spans="1:9" s="391" customFormat="1" ht="17.25" customHeight="1">
      <c r="A9" s="386">
        <v>5</v>
      </c>
      <c r="B9" s="386" t="s">
        <v>3</v>
      </c>
      <c r="C9" s="386" t="s">
        <v>68</v>
      </c>
      <c r="D9" s="390">
        <v>1</v>
      </c>
      <c r="E9" s="387">
        <v>6.2500000000000003E-3</v>
      </c>
      <c r="F9" s="388">
        <v>1.4</v>
      </c>
      <c r="G9" s="389">
        <f t="shared" si="0"/>
        <v>2.0999999999999994E-3</v>
      </c>
      <c r="H9" s="389">
        <f t="shared" si="1"/>
        <v>1.3124999999999999E-3</v>
      </c>
      <c r="I9" s="389">
        <f t="shared" si="2"/>
        <v>7.8749999999999957E-4</v>
      </c>
    </row>
    <row r="10" spans="1:9" s="391" customFormat="1" ht="17.25" customHeight="1">
      <c r="A10" s="386">
        <v>6</v>
      </c>
      <c r="B10" s="386" t="s">
        <v>6</v>
      </c>
      <c r="C10" s="386" t="s">
        <v>68</v>
      </c>
      <c r="D10" s="390">
        <v>1</v>
      </c>
      <c r="E10" s="387">
        <v>0.1</v>
      </c>
      <c r="F10" s="388">
        <v>1.4</v>
      </c>
      <c r="G10" s="389">
        <f t="shared" si="0"/>
        <v>3.3599999999999991E-2</v>
      </c>
      <c r="H10" s="389">
        <f t="shared" si="1"/>
        <v>2.0999999999999998E-2</v>
      </c>
      <c r="I10" s="389">
        <f t="shared" si="2"/>
        <v>1.2599999999999993E-2</v>
      </c>
    </row>
    <row r="11" spans="1:9" s="391" customFormat="1" ht="17.25" customHeight="1">
      <c r="A11" s="386">
        <v>7</v>
      </c>
      <c r="B11" s="386" t="s">
        <v>78</v>
      </c>
      <c r="C11" s="386" t="s">
        <v>68</v>
      </c>
      <c r="D11" s="390">
        <v>1</v>
      </c>
      <c r="E11" s="387">
        <v>2.2499999999999998E-3</v>
      </c>
      <c r="F11" s="388">
        <v>1.4</v>
      </c>
      <c r="G11" s="389">
        <f t="shared" si="0"/>
        <v>7.5599999999999994E-4</v>
      </c>
      <c r="H11" s="389">
        <f t="shared" si="1"/>
        <v>4.7249999999999994E-4</v>
      </c>
      <c r="I11" s="389">
        <f t="shared" si="2"/>
        <v>2.8350000000000001E-4</v>
      </c>
    </row>
    <row r="12" spans="1:9" s="391" customFormat="1" ht="17.25" customHeight="1">
      <c r="A12" s="386">
        <v>8</v>
      </c>
      <c r="B12" s="386" t="s">
        <v>8</v>
      </c>
      <c r="C12" s="386" t="s">
        <v>68</v>
      </c>
      <c r="D12" s="390">
        <v>1</v>
      </c>
      <c r="E12" s="387">
        <v>0.09</v>
      </c>
      <c r="F12" s="388">
        <v>1.4</v>
      </c>
      <c r="G12" s="389">
        <f t="shared" si="0"/>
        <v>3.0240000000000003E-2</v>
      </c>
      <c r="H12" s="389">
        <f t="shared" si="1"/>
        <v>1.89E-2</v>
      </c>
      <c r="I12" s="389">
        <f t="shared" si="2"/>
        <v>1.1340000000000003E-2</v>
      </c>
    </row>
    <row r="13" spans="1:9" s="391" customFormat="1" ht="17.25" customHeight="1">
      <c r="A13" s="386">
        <v>9</v>
      </c>
      <c r="B13" s="386" t="s">
        <v>12</v>
      </c>
      <c r="C13" s="386" t="s">
        <v>68</v>
      </c>
      <c r="D13" s="390">
        <v>1</v>
      </c>
      <c r="E13" s="387">
        <v>0.11</v>
      </c>
      <c r="F13" s="388">
        <v>1.4</v>
      </c>
      <c r="G13" s="389">
        <f t="shared" si="0"/>
        <v>3.696E-2</v>
      </c>
      <c r="H13" s="389">
        <f t="shared" si="1"/>
        <v>2.3100000000000002E-2</v>
      </c>
      <c r="I13" s="389">
        <f t="shared" si="2"/>
        <v>1.3859999999999997E-2</v>
      </c>
    </row>
    <row r="14" spans="1:9" s="391" customFormat="1" ht="17.25" customHeight="1">
      <c r="A14" s="386">
        <v>10</v>
      </c>
      <c r="B14" s="386" t="s">
        <v>12</v>
      </c>
      <c r="C14" s="386" t="s">
        <v>68</v>
      </c>
      <c r="D14" s="390">
        <v>1</v>
      </c>
      <c r="E14" s="387">
        <v>0.1</v>
      </c>
      <c r="F14" s="388">
        <v>1.4</v>
      </c>
      <c r="G14" s="389">
        <f t="shared" si="0"/>
        <v>3.3599999999999991E-2</v>
      </c>
      <c r="H14" s="389">
        <f t="shared" si="1"/>
        <v>2.0999999999999998E-2</v>
      </c>
      <c r="I14" s="389">
        <f t="shared" si="2"/>
        <v>1.2599999999999993E-2</v>
      </c>
    </row>
    <row r="15" spans="1:9" s="391" customFormat="1" ht="17.25" customHeight="1">
      <c r="A15" s="386">
        <v>11</v>
      </c>
      <c r="B15" s="386" t="s">
        <v>13</v>
      </c>
      <c r="C15" s="386" t="s">
        <v>68</v>
      </c>
      <c r="D15" s="390">
        <v>1</v>
      </c>
      <c r="E15" s="387">
        <v>0.11</v>
      </c>
      <c r="F15" s="388">
        <v>1.4</v>
      </c>
      <c r="G15" s="389">
        <f t="shared" si="0"/>
        <v>3.696E-2</v>
      </c>
      <c r="H15" s="389">
        <f t="shared" si="1"/>
        <v>2.3100000000000002E-2</v>
      </c>
      <c r="I15" s="389">
        <f t="shared" si="2"/>
        <v>1.3859999999999997E-2</v>
      </c>
    </row>
    <row r="16" spans="1:9" s="391" customFormat="1" ht="17.25" customHeight="1">
      <c r="A16" s="386">
        <v>12</v>
      </c>
      <c r="B16" s="386" t="s">
        <v>13</v>
      </c>
      <c r="C16" s="386" t="s">
        <v>68</v>
      </c>
      <c r="D16" s="390">
        <v>1</v>
      </c>
      <c r="E16" s="387">
        <v>5.9999999999999995E-4</v>
      </c>
      <c r="F16" s="388">
        <v>1.4</v>
      </c>
      <c r="G16" s="389">
        <f t="shared" si="0"/>
        <v>2.0159999999999997E-4</v>
      </c>
      <c r="H16" s="389">
        <f t="shared" si="1"/>
        <v>1.26E-4</v>
      </c>
      <c r="I16" s="389">
        <f t="shared" si="2"/>
        <v>7.5599999999999967E-5</v>
      </c>
    </row>
    <row r="17" spans="1:9" s="391" customFormat="1" ht="17.25" customHeight="1">
      <c r="A17" s="386">
        <v>13</v>
      </c>
      <c r="B17" s="386" t="s">
        <v>55</v>
      </c>
      <c r="C17" s="386" t="s">
        <v>68</v>
      </c>
      <c r="D17" s="390">
        <v>1</v>
      </c>
      <c r="E17" s="387">
        <v>0.08</v>
      </c>
      <c r="F17" s="388">
        <v>1.4</v>
      </c>
      <c r="G17" s="389">
        <f t="shared" si="0"/>
        <v>2.6879999999999994E-2</v>
      </c>
      <c r="H17" s="389">
        <f t="shared" si="1"/>
        <v>1.6799999999999995E-2</v>
      </c>
      <c r="I17" s="389">
        <f t="shared" si="2"/>
        <v>1.0079999999999999E-2</v>
      </c>
    </row>
    <row r="18" spans="1:9" s="391" customFormat="1" ht="17.25" customHeight="1">
      <c r="A18" s="386">
        <v>14</v>
      </c>
      <c r="B18" s="386" t="s">
        <v>55</v>
      </c>
      <c r="C18" s="386" t="s">
        <v>68</v>
      </c>
      <c r="D18" s="390">
        <v>1</v>
      </c>
      <c r="E18" s="387">
        <v>0.09</v>
      </c>
      <c r="F18" s="388">
        <v>1.4</v>
      </c>
      <c r="G18" s="389">
        <f t="shared" si="0"/>
        <v>3.0240000000000003E-2</v>
      </c>
      <c r="H18" s="389">
        <f t="shared" si="1"/>
        <v>1.89E-2</v>
      </c>
      <c r="I18" s="389">
        <f t="shared" si="2"/>
        <v>1.1340000000000003E-2</v>
      </c>
    </row>
    <row r="19" spans="1:9" s="391" customFormat="1" ht="17.25" customHeight="1">
      <c r="A19" s="386">
        <v>15</v>
      </c>
      <c r="B19" s="386" t="s">
        <v>55</v>
      </c>
      <c r="C19" s="386" t="s">
        <v>68</v>
      </c>
      <c r="D19" s="390">
        <v>1</v>
      </c>
      <c r="E19" s="387">
        <v>0.1</v>
      </c>
      <c r="F19" s="388">
        <v>1.4</v>
      </c>
      <c r="G19" s="389">
        <f t="shared" si="0"/>
        <v>3.3599999999999991E-2</v>
      </c>
      <c r="H19" s="389">
        <f t="shared" si="1"/>
        <v>2.0999999999999998E-2</v>
      </c>
      <c r="I19" s="389">
        <f t="shared" si="2"/>
        <v>1.2599999999999993E-2</v>
      </c>
    </row>
    <row r="20" spans="1:9" s="391" customFormat="1" ht="17.25" customHeight="1">
      <c r="A20" s="386">
        <v>16</v>
      </c>
      <c r="B20" s="386" t="s">
        <v>55</v>
      </c>
      <c r="C20" s="386" t="s">
        <v>68</v>
      </c>
      <c r="D20" s="390">
        <v>1</v>
      </c>
      <c r="E20" s="387">
        <v>0.1</v>
      </c>
      <c r="F20" s="388">
        <v>1.4</v>
      </c>
      <c r="G20" s="389">
        <f t="shared" si="0"/>
        <v>3.3599999999999991E-2</v>
      </c>
      <c r="H20" s="389">
        <f t="shared" si="1"/>
        <v>2.0999999999999998E-2</v>
      </c>
      <c r="I20" s="389">
        <f t="shared" si="2"/>
        <v>1.2599999999999993E-2</v>
      </c>
    </row>
    <row r="21" spans="1:9" s="391" customFormat="1" ht="17.25" customHeight="1">
      <c r="A21" s="386">
        <v>17</v>
      </c>
      <c r="B21" s="386" t="s">
        <v>55</v>
      </c>
      <c r="C21" s="386" t="s">
        <v>68</v>
      </c>
      <c r="D21" s="390">
        <v>1</v>
      </c>
      <c r="E21" s="387">
        <v>0.08</v>
      </c>
      <c r="F21" s="388">
        <v>1.4</v>
      </c>
      <c r="G21" s="389">
        <f t="shared" si="0"/>
        <v>2.6879999999999994E-2</v>
      </c>
      <c r="H21" s="389">
        <f t="shared" si="1"/>
        <v>1.6799999999999995E-2</v>
      </c>
      <c r="I21" s="389">
        <f t="shared" si="2"/>
        <v>1.0079999999999999E-2</v>
      </c>
    </row>
    <row r="22" spans="1:9" s="391" customFormat="1" ht="17.25" customHeight="1">
      <c r="A22" s="386">
        <v>18</v>
      </c>
      <c r="B22" s="386" t="s">
        <v>55</v>
      </c>
      <c r="C22" s="386" t="s">
        <v>68</v>
      </c>
      <c r="D22" s="390">
        <v>1</v>
      </c>
      <c r="E22" s="387">
        <v>0.09</v>
      </c>
      <c r="F22" s="388">
        <v>1.4</v>
      </c>
      <c r="G22" s="389">
        <f t="shared" si="0"/>
        <v>3.0240000000000003E-2</v>
      </c>
      <c r="H22" s="389">
        <f t="shared" si="1"/>
        <v>1.89E-2</v>
      </c>
      <c r="I22" s="389">
        <f t="shared" si="2"/>
        <v>1.1340000000000003E-2</v>
      </c>
    </row>
    <row r="23" spans="1:9" s="391" customFormat="1" ht="17.25" customHeight="1">
      <c r="A23" s="386">
        <v>19</v>
      </c>
      <c r="B23" s="386" t="s">
        <v>17</v>
      </c>
      <c r="C23" s="386" t="s">
        <v>68</v>
      </c>
      <c r="D23" s="390">
        <v>1</v>
      </c>
      <c r="E23" s="387">
        <v>0.1</v>
      </c>
      <c r="F23" s="388">
        <v>1.4</v>
      </c>
      <c r="G23" s="389">
        <f t="shared" si="0"/>
        <v>3.3599999999999991E-2</v>
      </c>
      <c r="H23" s="389">
        <f t="shared" si="1"/>
        <v>2.0999999999999998E-2</v>
      </c>
      <c r="I23" s="389">
        <f t="shared" si="2"/>
        <v>1.2599999999999993E-2</v>
      </c>
    </row>
    <row r="24" spans="1:9" s="391" customFormat="1" ht="17.25" customHeight="1">
      <c r="A24" s="386">
        <v>20</v>
      </c>
      <c r="B24" s="386" t="s">
        <v>19</v>
      </c>
      <c r="C24" s="386" t="s">
        <v>68</v>
      </c>
      <c r="D24" s="390">
        <v>1</v>
      </c>
      <c r="E24" s="387">
        <v>0.11</v>
      </c>
      <c r="F24" s="388">
        <v>1.4</v>
      </c>
      <c r="G24" s="389">
        <f t="shared" si="0"/>
        <v>3.696E-2</v>
      </c>
      <c r="H24" s="389">
        <f t="shared" si="1"/>
        <v>2.3100000000000002E-2</v>
      </c>
      <c r="I24" s="389">
        <f t="shared" si="2"/>
        <v>1.3859999999999997E-2</v>
      </c>
    </row>
    <row r="25" spans="1:9" s="391" customFormat="1" ht="17.25" customHeight="1">
      <c r="A25" s="386">
        <v>21</v>
      </c>
      <c r="B25" s="386" t="s">
        <v>118</v>
      </c>
      <c r="C25" s="386" t="s">
        <v>68</v>
      </c>
      <c r="D25" s="390">
        <v>1</v>
      </c>
      <c r="E25" s="387">
        <v>6.4000000000000005E-4</v>
      </c>
      <c r="F25" s="388">
        <v>1.4</v>
      </c>
      <c r="G25" s="389">
        <f t="shared" si="0"/>
        <v>2.1504E-4</v>
      </c>
      <c r="H25" s="389">
        <f t="shared" si="1"/>
        <v>1.3439999999999999E-4</v>
      </c>
      <c r="I25" s="389">
        <f t="shared" si="2"/>
        <v>8.0640000000000014E-5</v>
      </c>
    </row>
    <row r="26" spans="1:9" s="391" customFormat="1" ht="17.25" customHeight="1">
      <c r="A26" s="386">
        <v>22</v>
      </c>
      <c r="B26" s="386" t="s">
        <v>20</v>
      </c>
      <c r="C26" s="386" t="s">
        <v>68</v>
      </c>
      <c r="D26" s="390">
        <v>1</v>
      </c>
      <c r="E26" s="387">
        <v>0.08</v>
      </c>
      <c r="F26" s="388">
        <v>1.4</v>
      </c>
      <c r="G26" s="389">
        <f t="shared" si="0"/>
        <v>2.6879999999999994E-2</v>
      </c>
      <c r="H26" s="389">
        <f t="shared" si="1"/>
        <v>1.6799999999999995E-2</v>
      </c>
      <c r="I26" s="389">
        <f t="shared" si="2"/>
        <v>1.0079999999999999E-2</v>
      </c>
    </row>
    <row r="27" spans="1:9" s="391" customFormat="1" ht="17.25" customHeight="1">
      <c r="A27" s="386">
        <v>23</v>
      </c>
      <c r="B27" s="386" t="s">
        <v>23</v>
      </c>
      <c r="C27" s="386" t="s">
        <v>68</v>
      </c>
      <c r="D27" s="390">
        <v>1</v>
      </c>
      <c r="E27" s="387">
        <v>6.2500000000000003E-3</v>
      </c>
      <c r="F27" s="388">
        <v>1.4</v>
      </c>
      <c r="G27" s="389">
        <f t="shared" si="0"/>
        <v>2.0999999999999994E-3</v>
      </c>
      <c r="H27" s="389">
        <f t="shared" si="1"/>
        <v>1.3124999999999999E-3</v>
      </c>
      <c r="I27" s="389">
        <f t="shared" si="2"/>
        <v>7.8749999999999957E-4</v>
      </c>
    </row>
    <row r="28" spans="1:9" s="391" customFormat="1" ht="17.25" customHeight="1">
      <c r="A28" s="386">
        <v>24</v>
      </c>
      <c r="B28" s="386" t="s">
        <v>23</v>
      </c>
      <c r="C28" s="386" t="s">
        <v>68</v>
      </c>
      <c r="D28" s="390">
        <v>1</v>
      </c>
      <c r="E28" s="387">
        <v>6.2500000000000003E-3</v>
      </c>
      <c r="F28" s="388">
        <v>1.4</v>
      </c>
      <c r="G28" s="389">
        <f t="shared" si="0"/>
        <v>2.0999999999999994E-3</v>
      </c>
      <c r="H28" s="389">
        <f t="shared" si="1"/>
        <v>1.3124999999999999E-3</v>
      </c>
      <c r="I28" s="389">
        <f t="shared" si="2"/>
        <v>7.8749999999999957E-4</v>
      </c>
    </row>
    <row r="29" spans="1:9" s="391" customFormat="1" ht="17.25" customHeight="1">
      <c r="A29" s="386">
        <v>25</v>
      </c>
      <c r="B29" s="386" t="s">
        <v>27</v>
      </c>
      <c r="C29" s="386" t="s">
        <v>68</v>
      </c>
      <c r="D29" s="390">
        <v>1</v>
      </c>
      <c r="E29" s="387">
        <v>1E-3</v>
      </c>
      <c r="F29" s="388">
        <v>1.4</v>
      </c>
      <c r="G29" s="389">
        <f t="shared" si="0"/>
        <v>3.3600000000000004E-4</v>
      </c>
      <c r="H29" s="389">
        <f t="shared" si="1"/>
        <v>2.0999999999999998E-4</v>
      </c>
      <c r="I29" s="389">
        <f t="shared" si="2"/>
        <v>1.2600000000000005E-4</v>
      </c>
    </row>
    <row r="30" spans="1:9" s="391" customFormat="1" ht="17.25" customHeight="1">
      <c r="A30" s="386">
        <v>26</v>
      </c>
      <c r="B30" s="386" t="s">
        <v>27</v>
      </c>
      <c r="C30" s="386" t="s">
        <v>68</v>
      </c>
      <c r="D30" s="390">
        <v>1</v>
      </c>
      <c r="E30" s="387">
        <v>1E-3</v>
      </c>
      <c r="F30" s="388">
        <v>1.4</v>
      </c>
      <c r="G30" s="389">
        <f t="shared" si="0"/>
        <v>3.3600000000000004E-4</v>
      </c>
      <c r="H30" s="389">
        <f t="shared" si="1"/>
        <v>2.0999999999999998E-4</v>
      </c>
      <c r="I30" s="389">
        <f t="shared" si="2"/>
        <v>1.2600000000000005E-4</v>
      </c>
    </row>
    <row r="31" spans="1:9" s="391" customFormat="1" ht="17.25" customHeight="1">
      <c r="A31" s="386">
        <v>27</v>
      </c>
      <c r="B31" s="386" t="s">
        <v>27</v>
      </c>
      <c r="C31" s="386" t="s">
        <v>68</v>
      </c>
      <c r="D31" s="390">
        <v>1</v>
      </c>
      <c r="E31" s="387">
        <v>6.4000000000000005E-4</v>
      </c>
      <c r="F31" s="388">
        <v>1.4</v>
      </c>
      <c r="G31" s="389">
        <f t="shared" si="0"/>
        <v>2.1504E-4</v>
      </c>
      <c r="H31" s="389">
        <f t="shared" si="1"/>
        <v>1.3439999999999999E-4</v>
      </c>
      <c r="I31" s="389">
        <f t="shared" si="2"/>
        <v>8.0640000000000014E-5</v>
      </c>
    </row>
    <row r="32" spans="1:9" s="391" customFormat="1" ht="17.25" customHeight="1">
      <c r="A32" s="386">
        <v>28</v>
      </c>
      <c r="B32" s="386" t="s">
        <v>27</v>
      </c>
      <c r="C32" s="386" t="s">
        <v>68</v>
      </c>
      <c r="D32" s="390">
        <v>1</v>
      </c>
      <c r="E32" s="387">
        <v>1E-3</v>
      </c>
      <c r="F32" s="388">
        <v>1.4</v>
      </c>
      <c r="G32" s="389">
        <f t="shared" si="0"/>
        <v>3.3600000000000004E-4</v>
      </c>
      <c r="H32" s="389">
        <f t="shared" si="1"/>
        <v>2.0999999999999998E-4</v>
      </c>
      <c r="I32" s="389">
        <f t="shared" si="2"/>
        <v>1.2600000000000005E-4</v>
      </c>
    </row>
    <row r="33" spans="1:9" s="391" customFormat="1" ht="17.25" customHeight="1">
      <c r="A33" s="386">
        <v>29</v>
      </c>
      <c r="B33" s="386" t="s">
        <v>27</v>
      </c>
      <c r="C33" s="386" t="s">
        <v>68</v>
      </c>
      <c r="D33" s="390">
        <v>1</v>
      </c>
      <c r="E33" s="387">
        <v>1E-3</v>
      </c>
      <c r="F33" s="388">
        <v>1.4</v>
      </c>
      <c r="G33" s="389">
        <f t="shared" si="0"/>
        <v>3.3600000000000004E-4</v>
      </c>
      <c r="H33" s="389">
        <f t="shared" si="1"/>
        <v>2.0999999999999998E-4</v>
      </c>
      <c r="I33" s="389">
        <f t="shared" si="2"/>
        <v>1.2600000000000005E-4</v>
      </c>
    </row>
    <row r="34" spans="1:9" s="391" customFormat="1" ht="17.25" customHeight="1">
      <c r="A34" s="386">
        <v>30</v>
      </c>
      <c r="B34" s="386" t="s">
        <v>79</v>
      </c>
      <c r="C34" s="386" t="s">
        <v>68</v>
      </c>
      <c r="D34" s="390">
        <v>1</v>
      </c>
      <c r="E34" s="387">
        <v>0.11</v>
      </c>
      <c r="F34" s="388">
        <v>1.4</v>
      </c>
      <c r="G34" s="389">
        <f t="shared" si="0"/>
        <v>3.696E-2</v>
      </c>
      <c r="H34" s="389">
        <f t="shared" si="1"/>
        <v>2.3100000000000002E-2</v>
      </c>
      <c r="I34" s="389">
        <f t="shared" si="2"/>
        <v>1.3859999999999997E-2</v>
      </c>
    </row>
    <row r="35" spans="1:9" s="391" customFormat="1" ht="17.25" customHeight="1">
      <c r="A35" s="386">
        <v>31</v>
      </c>
      <c r="B35" s="386" t="s">
        <v>29</v>
      </c>
      <c r="C35" s="386" t="s">
        <v>68</v>
      </c>
      <c r="D35" s="390">
        <v>1</v>
      </c>
      <c r="E35" s="387">
        <v>0.11</v>
      </c>
      <c r="F35" s="388">
        <v>1.4</v>
      </c>
      <c r="G35" s="389">
        <f t="shared" si="0"/>
        <v>3.696E-2</v>
      </c>
      <c r="H35" s="389">
        <f t="shared" si="1"/>
        <v>2.3100000000000002E-2</v>
      </c>
      <c r="I35" s="389">
        <f t="shared" si="2"/>
        <v>1.3859999999999997E-2</v>
      </c>
    </row>
    <row r="36" spans="1:9" s="391" customFormat="1" ht="17.25" customHeight="1">
      <c r="A36" s="386">
        <v>32</v>
      </c>
      <c r="B36" s="386" t="s">
        <v>30</v>
      </c>
      <c r="C36" s="386" t="s">
        <v>68</v>
      </c>
      <c r="D36" s="390">
        <v>1</v>
      </c>
      <c r="E36" s="387">
        <v>1.1999999999999999E-3</v>
      </c>
      <c r="F36" s="388">
        <v>1.4</v>
      </c>
      <c r="G36" s="389">
        <f t="shared" si="0"/>
        <v>4.0319999999999993E-4</v>
      </c>
      <c r="H36" s="389">
        <f t="shared" si="1"/>
        <v>2.52E-4</v>
      </c>
      <c r="I36" s="389">
        <f t="shared" si="2"/>
        <v>1.5119999999999993E-4</v>
      </c>
    </row>
    <row r="37" spans="1:9" s="391" customFormat="1" ht="17.25" customHeight="1">
      <c r="A37" s="386">
        <v>33</v>
      </c>
      <c r="B37" s="386" t="s">
        <v>30</v>
      </c>
      <c r="C37" s="386" t="s">
        <v>68</v>
      </c>
      <c r="D37" s="390">
        <v>1</v>
      </c>
      <c r="E37" s="387">
        <v>0.1</v>
      </c>
      <c r="F37" s="388">
        <v>1.4</v>
      </c>
      <c r="G37" s="389">
        <f t="shared" si="0"/>
        <v>3.3599999999999991E-2</v>
      </c>
      <c r="H37" s="389">
        <f t="shared" si="1"/>
        <v>2.0999999999999998E-2</v>
      </c>
      <c r="I37" s="389">
        <f t="shared" si="2"/>
        <v>1.2599999999999993E-2</v>
      </c>
    </row>
    <row r="38" spans="1:9" s="391" customFormat="1" ht="17.25" customHeight="1">
      <c r="A38" s="386">
        <v>34</v>
      </c>
      <c r="B38" s="386" t="s">
        <v>31</v>
      </c>
      <c r="C38" s="386" t="s">
        <v>68</v>
      </c>
      <c r="D38" s="390">
        <v>1</v>
      </c>
      <c r="E38" s="387">
        <v>0.1</v>
      </c>
      <c r="F38" s="388">
        <v>1.4</v>
      </c>
      <c r="G38" s="389">
        <f t="shared" si="0"/>
        <v>3.3599999999999991E-2</v>
      </c>
      <c r="H38" s="389">
        <f t="shared" si="1"/>
        <v>2.0999999999999998E-2</v>
      </c>
      <c r="I38" s="389">
        <f t="shared" si="2"/>
        <v>1.2599999999999993E-2</v>
      </c>
    </row>
    <row r="39" spans="1:9" s="391" customFormat="1" ht="17.25" customHeight="1">
      <c r="A39" s="386">
        <v>35</v>
      </c>
      <c r="B39" s="386" t="s">
        <v>31</v>
      </c>
      <c r="C39" s="386" t="s">
        <v>68</v>
      </c>
      <c r="D39" s="390">
        <v>1</v>
      </c>
      <c r="E39" s="387">
        <v>6.2500000000000003E-3</v>
      </c>
      <c r="F39" s="388">
        <v>1.4</v>
      </c>
      <c r="G39" s="389">
        <f t="shared" si="0"/>
        <v>2.0999999999999994E-3</v>
      </c>
      <c r="H39" s="389">
        <f t="shared" si="1"/>
        <v>1.3124999999999999E-3</v>
      </c>
      <c r="I39" s="389">
        <f t="shared" si="2"/>
        <v>7.8749999999999957E-4</v>
      </c>
    </row>
    <row r="40" spans="1:9" s="391" customFormat="1" ht="17.25" customHeight="1">
      <c r="A40" s="386">
        <v>36</v>
      </c>
      <c r="B40" s="386" t="s">
        <v>34</v>
      </c>
      <c r="C40" s="386" t="s">
        <v>68</v>
      </c>
      <c r="D40" s="390">
        <v>1</v>
      </c>
      <c r="E40" s="387">
        <v>9.9000000000000005E-2</v>
      </c>
      <c r="F40" s="388">
        <v>1.4</v>
      </c>
      <c r="G40" s="389">
        <f t="shared" si="0"/>
        <v>3.3264000000000002E-2</v>
      </c>
      <c r="H40" s="389">
        <f t="shared" si="1"/>
        <v>2.0789999999999999E-2</v>
      </c>
      <c r="I40" s="389">
        <f t="shared" si="2"/>
        <v>1.2474000000000002E-2</v>
      </c>
    </row>
    <row r="41" spans="1:9" s="391" customFormat="1" ht="17.25" customHeight="1">
      <c r="A41" s="386">
        <v>37</v>
      </c>
      <c r="B41" s="386" t="s">
        <v>34</v>
      </c>
      <c r="C41" s="386" t="s">
        <v>68</v>
      </c>
      <c r="D41" s="390">
        <v>1</v>
      </c>
      <c r="E41" s="387">
        <v>0.08</v>
      </c>
      <c r="F41" s="388">
        <v>1.4</v>
      </c>
      <c r="G41" s="389">
        <f t="shared" si="0"/>
        <v>2.6879999999999994E-2</v>
      </c>
      <c r="H41" s="389">
        <f t="shared" si="1"/>
        <v>1.6799999999999995E-2</v>
      </c>
      <c r="I41" s="389">
        <f t="shared" si="2"/>
        <v>1.0079999999999999E-2</v>
      </c>
    </row>
    <row r="42" spans="1:9" s="391" customFormat="1" ht="17.25" customHeight="1">
      <c r="A42" s="386">
        <v>38</v>
      </c>
      <c r="B42" s="386" t="s">
        <v>34</v>
      </c>
      <c r="C42" s="386" t="s">
        <v>68</v>
      </c>
      <c r="D42" s="390">
        <v>1</v>
      </c>
      <c r="E42" s="387">
        <v>6.2500000000000003E-3</v>
      </c>
      <c r="F42" s="388">
        <v>1.4</v>
      </c>
      <c r="G42" s="389">
        <f t="shared" si="0"/>
        <v>2.0999999999999994E-3</v>
      </c>
      <c r="H42" s="389">
        <f t="shared" si="1"/>
        <v>1.3124999999999999E-3</v>
      </c>
      <c r="I42" s="389">
        <f t="shared" si="2"/>
        <v>7.8749999999999957E-4</v>
      </c>
    </row>
    <row r="43" spans="1:9" s="391" customFormat="1">
      <c r="A43" s="386">
        <v>39</v>
      </c>
      <c r="B43" s="386" t="s">
        <v>37</v>
      </c>
      <c r="C43" s="386" t="s">
        <v>68</v>
      </c>
      <c r="D43" s="390">
        <v>1</v>
      </c>
      <c r="E43" s="387">
        <v>0.11</v>
      </c>
      <c r="F43" s="388">
        <v>1.4</v>
      </c>
      <c r="G43" s="389">
        <f t="shared" si="0"/>
        <v>3.696E-2</v>
      </c>
      <c r="H43" s="389">
        <f t="shared" si="1"/>
        <v>2.3100000000000002E-2</v>
      </c>
      <c r="I43" s="389">
        <f t="shared" si="2"/>
        <v>1.3859999999999997E-2</v>
      </c>
    </row>
    <row r="44" spans="1:9" s="391" customFormat="1">
      <c r="A44" s="386">
        <v>40</v>
      </c>
      <c r="B44" s="386" t="s">
        <v>37</v>
      </c>
      <c r="C44" s="386" t="s">
        <v>68</v>
      </c>
      <c r="D44" s="390">
        <v>1</v>
      </c>
      <c r="E44" s="387">
        <v>0.08</v>
      </c>
      <c r="F44" s="388">
        <v>1.4</v>
      </c>
      <c r="G44" s="389">
        <f t="shared" si="0"/>
        <v>2.6879999999999994E-2</v>
      </c>
      <c r="H44" s="389">
        <f t="shared" si="1"/>
        <v>1.6799999999999995E-2</v>
      </c>
      <c r="I44" s="389">
        <f t="shared" si="2"/>
        <v>1.0079999999999999E-2</v>
      </c>
    </row>
    <row r="45" spans="1:9" s="391" customFormat="1">
      <c r="A45" s="386">
        <v>41</v>
      </c>
      <c r="B45" s="386" t="s">
        <v>80</v>
      </c>
      <c r="C45" s="386" t="s">
        <v>68</v>
      </c>
      <c r="D45" s="390">
        <v>1</v>
      </c>
      <c r="E45" s="387">
        <v>0.08</v>
      </c>
      <c r="F45" s="388">
        <v>1.4</v>
      </c>
      <c r="G45" s="389">
        <f t="shared" si="0"/>
        <v>2.6879999999999994E-2</v>
      </c>
      <c r="H45" s="389">
        <f t="shared" si="1"/>
        <v>1.6799999999999995E-2</v>
      </c>
      <c r="I45" s="389">
        <f t="shared" si="2"/>
        <v>1.0079999999999999E-2</v>
      </c>
    </row>
    <row r="46" spans="1:9" s="391" customFormat="1">
      <c r="A46" s="386">
        <v>42</v>
      </c>
      <c r="B46" s="386" t="s">
        <v>42</v>
      </c>
      <c r="C46" s="386" t="s">
        <v>68</v>
      </c>
      <c r="D46" s="390">
        <v>1</v>
      </c>
      <c r="E46" s="387">
        <v>9.9000000000000005E-2</v>
      </c>
      <c r="F46" s="388">
        <v>1.4</v>
      </c>
      <c r="G46" s="389">
        <f t="shared" si="0"/>
        <v>3.3264000000000002E-2</v>
      </c>
      <c r="H46" s="389">
        <f t="shared" si="1"/>
        <v>2.0789999999999999E-2</v>
      </c>
      <c r="I46" s="389">
        <f t="shared" si="2"/>
        <v>1.2474000000000002E-2</v>
      </c>
    </row>
    <row r="47" spans="1:9" s="391" customFormat="1">
      <c r="A47" s="386">
        <v>43</v>
      </c>
      <c r="B47" s="386" t="s">
        <v>42</v>
      </c>
      <c r="C47" s="386" t="s">
        <v>68</v>
      </c>
      <c r="D47" s="390">
        <v>1</v>
      </c>
      <c r="E47" s="387">
        <v>0.1</v>
      </c>
      <c r="F47" s="388">
        <v>1.4</v>
      </c>
      <c r="G47" s="389">
        <f t="shared" si="0"/>
        <v>3.3599999999999991E-2</v>
      </c>
      <c r="H47" s="389">
        <f t="shared" si="1"/>
        <v>2.0999999999999998E-2</v>
      </c>
      <c r="I47" s="389">
        <f t="shared" si="2"/>
        <v>1.2599999999999993E-2</v>
      </c>
    </row>
    <row r="48" spans="1:9" s="391" customFormat="1">
      <c r="A48" s="386">
        <v>44</v>
      </c>
      <c r="B48" s="386" t="s">
        <v>42</v>
      </c>
      <c r="C48" s="386" t="s">
        <v>68</v>
      </c>
      <c r="D48" s="390">
        <v>1</v>
      </c>
      <c r="E48" s="387">
        <v>0.1</v>
      </c>
      <c r="F48" s="388">
        <v>1.4</v>
      </c>
      <c r="G48" s="389">
        <f t="shared" si="0"/>
        <v>3.3599999999999991E-2</v>
      </c>
      <c r="H48" s="389">
        <f t="shared" si="1"/>
        <v>2.0999999999999998E-2</v>
      </c>
      <c r="I48" s="389">
        <f t="shared" si="2"/>
        <v>1.2599999999999993E-2</v>
      </c>
    </row>
    <row r="49" spans="1:11" s="391" customFormat="1">
      <c r="A49" s="386">
        <v>45</v>
      </c>
      <c r="B49" s="386" t="s">
        <v>119</v>
      </c>
      <c r="C49" s="386" t="s">
        <v>68</v>
      </c>
      <c r="D49" s="390">
        <v>1</v>
      </c>
      <c r="E49" s="387">
        <v>1.575</v>
      </c>
      <c r="F49" s="388">
        <v>1.4</v>
      </c>
      <c r="G49" s="389">
        <f t="shared" si="0"/>
        <v>0.52919999999999989</v>
      </c>
      <c r="H49" s="389">
        <f t="shared" si="1"/>
        <v>0.33074999999999993</v>
      </c>
      <c r="I49" s="389">
        <f t="shared" si="2"/>
        <v>0.19844999999999996</v>
      </c>
    </row>
    <row r="50" spans="1:11" s="5" customFormat="1" ht="14.25">
      <c r="D50" s="41">
        <v>1</v>
      </c>
      <c r="E50" s="186">
        <f>SUM(E5:E49)</f>
        <v>4.3898300000000008</v>
      </c>
      <c r="F50" s="41">
        <v>1.4</v>
      </c>
      <c r="G50" s="28">
        <f t="shared" si="0"/>
        <v>1.47498288</v>
      </c>
      <c r="H50" s="28">
        <f>SUM((E50*F50)*(150))/1000</f>
        <v>0.92186430000000008</v>
      </c>
      <c r="I50" s="28">
        <f t="shared" si="2"/>
        <v>0.55311857999999992</v>
      </c>
    </row>
    <row r="51" spans="1:11" s="5" customFormat="1" ht="38.25" customHeight="1">
      <c r="A51" s="433" t="s">
        <v>117</v>
      </c>
      <c r="B51" s="433"/>
      <c r="C51" s="433"/>
      <c r="D51" s="433"/>
      <c r="E51" s="433"/>
      <c r="F51" s="433"/>
      <c r="G51" s="433"/>
      <c r="H51" s="433"/>
      <c r="I51" s="433"/>
      <c r="J51" s="295"/>
      <c r="K51" s="295"/>
    </row>
    <row r="52" spans="1:11" s="5" customFormat="1" ht="14.25">
      <c r="H52" s="28"/>
    </row>
    <row r="53" spans="1:11" s="5" customFormat="1"/>
    <row r="54" spans="1:11" s="5" customFormat="1"/>
    <row r="55" spans="1:11" s="5" customFormat="1"/>
    <row r="56" spans="1:11" s="5" customFormat="1"/>
    <row r="57" spans="1:11" s="5" customFormat="1"/>
    <row r="58" spans="1:11">
      <c r="B58" s="5"/>
    </row>
  </sheetData>
  <mergeCells count="2">
    <mergeCell ref="A1:I1"/>
    <mergeCell ref="A51:I51"/>
  </mergeCells>
  <printOptions horizontalCentered="1"/>
  <pageMargins left="0.25" right="0.25" top="1" bottom="0.25" header="0.5" footer="0.5"/>
  <pageSetup paperSize="9" orientation="landscape" horizontalDpi="180" verticalDpi="18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view="pageBreakPreview" zoomScale="85" zoomScaleNormal="100" zoomScaleSheetLayoutView="85" workbookViewId="0">
      <selection activeCell="G6" sqref="G6"/>
    </sheetView>
  </sheetViews>
  <sheetFormatPr defaultRowHeight="12.75"/>
  <cols>
    <col min="1" max="1" width="8.140625" style="4" customWidth="1"/>
    <col min="2" max="2" width="17" style="4" customWidth="1"/>
    <col min="3" max="3" width="10" style="4" customWidth="1"/>
    <col min="4" max="4" width="14.7109375" style="4" customWidth="1"/>
    <col min="5" max="5" width="17.28515625" style="4" customWidth="1"/>
    <col min="6" max="6" width="12.28515625" style="4" customWidth="1"/>
    <col min="7" max="7" width="17.7109375" style="4" customWidth="1"/>
    <col min="8" max="8" width="15.28515625" style="4" customWidth="1"/>
    <col min="9" max="9" width="13.28515625" style="4" customWidth="1"/>
    <col min="10" max="10" width="13.42578125" style="4" customWidth="1"/>
    <col min="11" max="11" width="11" style="4" customWidth="1"/>
    <col min="12" max="12" width="12.5703125" style="4" customWidth="1"/>
    <col min="13" max="16384" width="9.140625" style="4"/>
  </cols>
  <sheetData>
    <row r="1" spans="1:10" ht="31.5" customHeight="1">
      <c r="A1" s="443" t="s">
        <v>86</v>
      </c>
      <c r="B1" s="443"/>
      <c r="C1" s="444" t="s">
        <v>113</v>
      </c>
      <c r="D1" s="444"/>
      <c r="E1" s="444"/>
      <c r="F1" s="444"/>
      <c r="G1" s="444"/>
      <c r="H1" s="444"/>
      <c r="I1" s="444"/>
      <c r="J1" s="444"/>
    </row>
    <row r="2" spans="1:10" s="12" customFormat="1" ht="42.75">
      <c r="A2" s="296" t="s">
        <v>87</v>
      </c>
      <c r="B2" s="24" t="s">
        <v>72</v>
      </c>
      <c r="C2" s="297" t="s">
        <v>88</v>
      </c>
      <c r="D2" s="296" t="s">
        <v>59</v>
      </c>
      <c r="E2" s="24" t="s">
        <v>89</v>
      </c>
      <c r="F2" s="36" t="s">
        <v>90</v>
      </c>
      <c r="G2" s="24" t="s">
        <v>91</v>
      </c>
      <c r="H2" s="36" t="s">
        <v>92</v>
      </c>
      <c r="I2" s="24" t="s">
        <v>93</v>
      </c>
      <c r="J2" s="297" t="s">
        <v>94</v>
      </c>
    </row>
    <row r="3" spans="1:10" ht="14.25">
      <c r="A3" s="32">
        <v>1</v>
      </c>
      <c r="B3" s="26">
        <v>2</v>
      </c>
      <c r="C3" s="33">
        <v>3</v>
      </c>
      <c r="D3" s="32">
        <v>4</v>
      </c>
      <c r="E3" s="8">
        <v>5</v>
      </c>
      <c r="F3" s="15">
        <v>6</v>
      </c>
      <c r="G3" s="8">
        <v>7</v>
      </c>
      <c r="H3" s="15">
        <v>8</v>
      </c>
      <c r="I3" s="8">
        <v>9</v>
      </c>
      <c r="J3" s="33">
        <v>10</v>
      </c>
    </row>
    <row r="4" spans="1:10" s="10" customFormat="1" ht="15" customHeight="1">
      <c r="A4" s="437">
        <v>1</v>
      </c>
      <c r="B4" s="440" t="s">
        <v>77</v>
      </c>
      <c r="C4" s="440" t="s">
        <v>68</v>
      </c>
      <c r="D4" s="440" t="s">
        <v>69</v>
      </c>
      <c r="E4" s="298" t="s">
        <v>451</v>
      </c>
      <c r="F4" s="299">
        <v>0</v>
      </c>
      <c r="G4" s="300">
        <v>150000</v>
      </c>
      <c r="H4" s="301">
        <v>365</v>
      </c>
      <c r="I4" s="302">
        <f t="shared" ref="I4:I35" si="0">F4*G4*H4/1000000000</f>
        <v>0</v>
      </c>
      <c r="J4" s="434">
        <f>SUM(I4:I6)</f>
        <v>4.3799999999999999E-2</v>
      </c>
    </row>
    <row r="5" spans="1:10" s="10" customFormat="1" ht="15" customHeight="1">
      <c r="A5" s="438"/>
      <c r="B5" s="441"/>
      <c r="C5" s="441"/>
      <c r="D5" s="441"/>
      <c r="E5" s="303" t="s">
        <v>450</v>
      </c>
      <c r="F5" s="299">
        <v>1</v>
      </c>
      <c r="G5" s="304">
        <v>60000</v>
      </c>
      <c r="H5" s="305">
        <v>365</v>
      </c>
      <c r="I5" s="302">
        <f t="shared" si="0"/>
        <v>2.1899999999999999E-2</v>
      </c>
      <c r="J5" s="435"/>
    </row>
    <row r="6" spans="1:10" s="10" customFormat="1" ht="15" customHeight="1">
      <c r="A6" s="438"/>
      <c r="B6" s="441"/>
      <c r="C6" s="441"/>
      <c r="D6" s="441"/>
      <c r="E6" s="306" t="s">
        <v>449</v>
      </c>
      <c r="F6" s="299">
        <v>4</v>
      </c>
      <c r="G6" s="304">
        <v>15000</v>
      </c>
      <c r="H6" s="305">
        <v>365</v>
      </c>
      <c r="I6" s="302">
        <f t="shared" si="0"/>
        <v>2.1899999999999999E-2</v>
      </c>
      <c r="J6" s="435"/>
    </row>
    <row r="7" spans="1:10" s="10" customFormat="1" ht="15" customHeight="1">
      <c r="A7" s="437">
        <v>2</v>
      </c>
      <c r="B7" s="440" t="s">
        <v>1</v>
      </c>
      <c r="C7" s="440" t="s">
        <v>68</v>
      </c>
      <c r="D7" s="440" t="s">
        <v>69</v>
      </c>
      <c r="E7" s="298" t="s">
        <v>451</v>
      </c>
      <c r="F7" s="299">
        <v>1</v>
      </c>
      <c r="G7" s="300">
        <v>150000</v>
      </c>
      <c r="H7" s="301">
        <v>365</v>
      </c>
      <c r="I7" s="302">
        <f t="shared" si="0"/>
        <v>5.475E-2</v>
      </c>
      <c r="J7" s="434">
        <f>SUM(I7:I9)</f>
        <v>0.1095</v>
      </c>
    </row>
    <row r="8" spans="1:10" s="10" customFormat="1" ht="15" customHeight="1">
      <c r="A8" s="438"/>
      <c r="B8" s="441"/>
      <c r="C8" s="441"/>
      <c r="D8" s="441"/>
      <c r="E8" s="303" t="s">
        <v>450</v>
      </c>
      <c r="F8" s="299">
        <v>0</v>
      </c>
      <c r="G8" s="304">
        <v>60000</v>
      </c>
      <c r="H8" s="305">
        <v>365</v>
      </c>
      <c r="I8" s="302">
        <f t="shared" si="0"/>
        <v>0</v>
      </c>
      <c r="J8" s="435"/>
    </row>
    <row r="9" spans="1:10" s="10" customFormat="1" ht="15" customHeight="1">
      <c r="A9" s="439"/>
      <c r="B9" s="442"/>
      <c r="C9" s="442"/>
      <c r="D9" s="442"/>
      <c r="E9" s="306" t="s">
        <v>449</v>
      </c>
      <c r="F9" s="299">
        <v>10</v>
      </c>
      <c r="G9" s="304">
        <v>15000</v>
      </c>
      <c r="H9" s="307">
        <v>365</v>
      </c>
      <c r="I9" s="302">
        <f t="shared" si="0"/>
        <v>5.475E-2</v>
      </c>
      <c r="J9" s="436"/>
    </row>
    <row r="10" spans="1:10" s="10" customFormat="1" ht="15" customHeight="1">
      <c r="A10" s="437">
        <v>3</v>
      </c>
      <c r="B10" s="440" t="s">
        <v>2</v>
      </c>
      <c r="C10" s="440" t="s">
        <v>68</v>
      </c>
      <c r="D10" s="440" t="s">
        <v>69</v>
      </c>
      <c r="E10" s="298" t="s">
        <v>451</v>
      </c>
      <c r="F10" s="299">
        <v>2</v>
      </c>
      <c r="G10" s="300">
        <v>150000</v>
      </c>
      <c r="H10" s="301">
        <v>365</v>
      </c>
      <c r="I10" s="302">
        <f t="shared" si="0"/>
        <v>0.1095</v>
      </c>
      <c r="J10" s="434">
        <f>SUM(I10:I12)</f>
        <v>0.14234999999999998</v>
      </c>
    </row>
    <row r="11" spans="1:10" s="10" customFormat="1" ht="15" customHeight="1">
      <c r="A11" s="438"/>
      <c r="B11" s="441"/>
      <c r="C11" s="441"/>
      <c r="D11" s="441"/>
      <c r="E11" s="303" t="s">
        <v>450</v>
      </c>
      <c r="F11" s="299">
        <v>1</v>
      </c>
      <c r="G11" s="304">
        <v>60000</v>
      </c>
      <c r="H11" s="305">
        <v>365</v>
      </c>
      <c r="I11" s="302">
        <f t="shared" si="0"/>
        <v>2.1899999999999999E-2</v>
      </c>
      <c r="J11" s="435"/>
    </row>
    <row r="12" spans="1:10" s="10" customFormat="1" ht="15" customHeight="1">
      <c r="A12" s="439"/>
      <c r="B12" s="442"/>
      <c r="C12" s="442"/>
      <c r="D12" s="442"/>
      <c r="E12" s="306" t="s">
        <v>449</v>
      </c>
      <c r="F12" s="299">
        <v>2</v>
      </c>
      <c r="G12" s="304">
        <v>15000</v>
      </c>
      <c r="H12" s="307">
        <v>365</v>
      </c>
      <c r="I12" s="302">
        <f t="shared" si="0"/>
        <v>1.095E-2</v>
      </c>
      <c r="J12" s="436"/>
    </row>
    <row r="13" spans="1:10" s="10" customFormat="1" ht="15" customHeight="1">
      <c r="A13" s="437">
        <v>4</v>
      </c>
      <c r="B13" s="440" t="s">
        <v>3</v>
      </c>
      <c r="C13" s="440" t="s">
        <v>68</v>
      </c>
      <c r="D13" s="440" t="s">
        <v>69</v>
      </c>
      <c r="E13" s="298" t="s">
        <v>451</v>
      </c>
      <c r="F13" s="299">
        <v>1</v>
      </c>
      <c r="G13" s="300">
        <v>150000</v>
      </c>
      <c r="H13" s="301">
        <v>365</v>
      </c>
      <c r="I13" s="302">
        <f t="shared" si="0"/>
        <v>5.475E-2</v>
      </c>
      <c r="J13" s="434">
        <f>SUM(I13:I15)</f>
        <v>0.45990000000000003</v>
      </c>
    </row>
    <row r="14" spans="1:10" s="10" customFormat="1" ht="15" customHeight="1">
      <c r="A14" s="438"/>
      <c r="B14" s="441"/>
      <c r="C14" s="441"/>
      <c r="D14" s="441"/>
      <c r="E14" s="303" t="s">
        <v>450</v>
      </c>
      <c r="F14" s="299">
        <v>0</v>
      </c>
      <c r="G14" s="304">
        <v>60000</v>
      </c>
      <c r="H14" s="305">
        <v>365</v>
      </c>
      <c r="I14" s="302">
        <f t="shared" si="0"/>
        <v>0</v>
      </c>
      <c r="J14" s="435"/>
    </row>
    <row r="15" spans="1:10" s="10" customFormat="1" ht="15" customHeight="1">
      <c r="A15" s="439"/>
      <c r="B15" s="442"/>
      <c r="C15" s="442"/>
      <c r="D15" s="442"/>
      <c r="E15" s="306" t="s">
        <v>449</v>
      </c>
      <c r="F15" s="299">
        <v>74</v>
      </c>
      <c r="G15" s="304">
        <v>15000</v>
      </c>
      <c r="H15" s="307">
        <v>365</v>
      </c>
      <c r="I15" s="302">
        <f t="shared" si="0"/>
        <v>0.40515000000000001</v>
      </c>
      <c r="J15" s="436"/>
    </row>
    <row r="16" spans="1:10" s="10" customFormat="1" ht="15" customHeight="1">
      <c r="A16" s="437">
        <v>5</v>
      </c>
      <c r="B16" s="440" t="s">
        <v>4</v>
      </c>
      <c r="C16" s="440" t="s">
        <v>68</v>
      </c>
      <c r="D16" s="440" t="s">
        <v>69</v>
      </c>
      <c r="E16" s="298" t="s">
        <v>451</v>
      </c>
      <c r="F16" s="299">
        <v>5</v>
      </c>
      <c r="G16" s="300">
        <v>150000</v>
      </c>
      <c r="H16" s="301">
        <v>365</v>
      </c>
      <c r="I16" s="302">
        <f t="shared" si="0"/>
        <v>0.27374999999999999</v>
      </c>
      <c r="J16" s="434">
        <f>SUM(I16:I18)</f>
        <v>0.37229999999999996</v>
      </c>
    </row>
    <row r="17" spans="1:10" s="10" customFormat="1" ht="15" customHeight="1">
      <c r="A17" s="438"/>
      <c r="B17" s="441"/>
      <c r="C17" s="441"/>
      <c r="D17" s="441"/>
      <c r="E17" s="303" t="s">
        <v>450</v>
      </c>
      <c r="F17" s="299">
        <v>1</v>
      </c>
      <c r="G17" s="304">
        <v>60000</v>
      </c>
      <c r="H17" s="305">
        <v>365</v>
      </c>
      <c r="I17" s="302">
        <f t="shared" si="0"/>
        <v>2.1899999999999999E-2</v>
      </c>
      <c r="J17" s="435"/>
    </row>
    <row r="18" spans="1:10" s="10" customFormat="1" ht="15" customHeight="1">
      <c r="A18" s="439"/>
      <c r="B18" s="442"/>
      <c r="C18" s="442"/>
      <c r="D18" s="442"/>
      <c r="E18" s="306" t="s">
        <v>449</v>
      </c>
      <c r="F18" s="299">
        <v>14</v>
      </c>
      <c r="G18" s="304">
        <v>15000</v>
      </c>
      <c r="H18" s="307">
        <v>365</v>
      </c>
      <c r="I18" s="302">
        <f t="shared" si="0"/>
        <v>7.6649999999999996E-2</v>
      </c>
      <c r="J18" s="436"/>
    </row>
    <row r="19" spans="1:10" s="10" customFormat="1" ht="15" customHeight="1">
      <c r="A19" s="437">
        <v>6</v>
      </c>
      <c r="B19" s="440" t="s">
        <v>81</v>
      </c>
      <c r="C19" s="440" t="s">
        <v>68</v>
      </c>
      <c r="D19" s="440" t="s">
        <v>69</v>
      </c>
      <c r="E19" s="298" t="s">
        <v>451</v>
      </c>
      <c r="F19" s="299">
        <v>0</v>
      </c>
      <c r="G19" s="300">
        <v>150000</v>
      </c>
      <c r="H19" s="301">
        <v>365</v>
      </c>
      <c r="I19" s="302">
        <f t="shared" si="0"/>
        <v>0</v>
      </c>
      <c r="J19" s="434">
        <f>SUM(I19:I21)</f>
        <v>9.3075000000000005E-2</v>
      </c>
    </row>
    <row r="20" spans="1:10" s="10" customFormat="1" ht="15" customHeight="1">
      <c r="A20" s="438"/>
      <c r="B20" s="441"/>
      <c r="C20" s="441"/>
      <c r="D20" s="441"/>
      <c r="E20" s="303" t="s">
        <v>450</v>
      </c>
      <c r="F20" s="299">
        <v>1</v>
      </c>
      <c r="G20" s="304">
        <v>60000</v>
      </c>
      <c r="H20" s="305">
        <v>365</v>
      </c>
      <c r="I20" s="302">
        <f t="shared" si="0"/>
        <v>2.1899999999999999E-2</v>
      </c>
      <c r="J20" s="435"/>
    </row>
    <row r="21" spans="1:10" s="10" customFormat="1" ht="15" customHeight="1">
      <c r="A21" s="439"/>
      <c r="B21" s="442"/>
      <c r="C21" s="442"/>
      <c r="D21" s="442"/>
      <c r="E21" s="306" t="s">
        <v>449</v>
      </c>
      <c r="F21" s="299">
        <v>13</v>
      </c>
      <c r="G21" s="304">
        <v>15000</v>
      </c>
      <c r="H21" s="307">
        <v>365</v>
      </c>
      <c r="I21" s="302">
        <f t="shared" si="0"/>
        <v>7.1175000000000002E-2</v>
      </c>
      <c r="J21" s="436"/>
    </row>
    <row r="22" spans="1:10" s="10" customFormat="1" ht="15" customHeight="1">
      <c r="A22" s="437">
        <v>7</v>
      </c>
      <c r="B22" s="440" t="s">
        <v>6</v>
      </c>
      <c r="C22" s="440" t="s">
        <v>68</v>
      </c>
      <c r="D22" s="440" t="s">
        <v>69</v>
      </c>
      <c r="E22" s="298" t="s">
        <v>451</v>
      </c>
      <c r="F22" s="299">
        <v>2</v>
      </c>
      <c r="G22" s="300">
        <v>150000</v>
      </c>
      <c r="H22" s="301">
        <v>365</v>
      </c>
      <c r="I22" s="302">
        <f t="shared" si="0"/>
        <v>0.1095</v>
      </c>
      <c r="J22" s="434">
        <f>SUM(I22:I24)</f>
        <v>0.21352499999999999</v>
      </c>
    </row>
    <row r="23" spans="1:10" s="10" customFormat="1" ht="15" customHeight="1">
      <c r="A23" s="438"/>
      <c r="B23" s="441"/>
      <c r="C23" s="441"/>
      <c r="D23" s="441"/>
      <c r="E23" s="303" t="s">
        <v>450</v>
      </c>
      <c r="F23" s="299">
        <v>1</v>
      </c>
      <c r="G23" s="304">
        <v>60000</v>
      </c>
      <c r="H23" s="305">
        <v>365</v>
      </c>
      <c r="I23" s="302">
        <f t="shared" si="0"/>
        <v>2.1899999999999999E-2</v>
      </c>
      <c r="J23" s="435"/>
    </row>
    <row r="24" spans="1:10" s="10" customFormat="1" ht="15" customHeight="1">
      <c r="A24" s="439"/>
      <c r="B24" s="442"/>
      <c r="C24" s="442"/>
      <c r="D24" s="442"/>
      <c r="E24" s="306" t="s">
        <v>449</v>
      </c>
      <c r="F24" s="299">
        <v>15</v>
      </c>
      <c r="G24" s="304">
        <v>15000</v>
      </c>
      <c r="H24" s="307">
        <v>365</v>
      </c>
      <c r="I24" s="302">
        <f t="shared" si="0"/>
        <v>8.2125000000000004E-2</v>
      </c>
      <c r="J24" s="436"/>
    </row>
    <row r="25" spans="1:10" s="10" customFormat="1" ht="15" customHeight="1">
      <c r="A25" s="437">
        <v>8</v>
      </c>
      <c r="B25" s="440" t="s">
        <v>78</v>
      </c>
      <c r="C25" s="440" t="s">
        <v>68</v>
      </c>
      <c r="D25" s="440" t="s">
        <v>69</v>
      </c>
      <c r="E25" s="298" t="s">
        <v>451</v>
      </c>
      <c r="F25" s="299">
        <v>2</v>
      </c>
      <c r="G25" s="300">
        <v>150000</v>
      </c>
      <c r="H25" s="301">
        <v>365</v>
      </c>
      <c r="I25" s="302">
        <f t="shared" si="0"/>
        <v>0.1095</v>
      </c>
      <c r="J25" s="434">
        <f>SUM(I25:I27)</f>
        <v>0.1095</v>
      </c>
    </row>
    <row r="26" spans="1:10" s="10" customFormat="1" ht="15" customHeight="1">
      <c r="A26" s="438"/>
      <c r="B26" s="441"/>
      <c r="C26" s="441"/>
      <c r="D26" s="441"/>
      <c r="E26" s="303" t="s">
        <v>450</v>
      </c>
      <c r="F26" s="299">
        <v>0</v>
      </c>
      <c r="G26" s="304">
        <v>60000</v>
      </c>
      <c r="H26" s="305">
        <v>365</v>
      </c>
      <c r="I26" s="302">
        <f t="shared" si="0"/>
        <v>0</v>
      </c>
      <c r="J26" s="435"/>
    </row>
    <row r="27" spans="1:10" s="10" customFormat="1" ht="15" customHeight="1">
      <c r="A27" s="439"/>
      <c r="B27" s="442"/>
      <c r="C27" s="442"/>
      <c r="D27" s="442"/>
      <c r="E27" s="306" t="s">
        <v>449</v>
      </c>
      <c r="F27" s="299">
        <v>0</v>
      </c>
      <c r="G27" s="304">
        <v>15000</v>
      </c>
      <c r="H27" s="307">
        <v>365</v>
      </c>
      <c r="I27" s="302">
        <f t="shared" si="0"/>
        <v>0</v>
      </c>
      <c r="J27" s="436"/>
    </row>
    <row r="28" spans="1:10" s="10" customFormat="1" ht="15" customHeight="1">
      <c r="A28" s="437">
        <v>9</v>
      </c>
      <c r="B28" s="440" t="s">
        <v>8</v>
      </c>
      <c r="C28" s="440" t="s">
        <v>68</v>
      </c>
      <c r="D28" s="440" t="s">
        <v>69</v>
      </c>
      <c r="E28" s="298" t="s">
        <v>451</v>
      </c>
      <c r="F28" s="299">
        <v>1</v>
      </c>
      <c r="G28" s="300">
        <v>150000</v>
      </c>
      <c r="H28" s="301">
        <v>365</v>
      </c>
      <c r="I28" s="302">
        <f t="shared" si="0"/>
        <v>5.475E-2</v>
      </c>
      <c r="J28" s="434">
        <f>SUM(I28:I30)</f>
        <v>6.5699999999999995E-2</v>
      </c>
    </row>
    <row r="29" spans="1:10" s="10" customFormat="1" ht="15" customHeight="1">
      <c r="A29" s="438"/>
      <c r="B29" s="441"/>
      <c r="C29" s="441"/>
      <c r="D29" s="441"/>
      <c r="E29" s="303" t="s">
        <v>450</v>
      </c>
      <c r="F29" s="299">
        <v>0</v>
      </c>
      <c r="G29" s="304">
        <v>60000</v>
      </c>
      <c r="H29" s="305">
        <v>365</v>
      </c>
      <c r="I29" s="302">
        <f t="shared" si="0"/>
        <v>0</v>
      </c>
      <c r="J29" s="435"/>
    </row>
    <row r="30" spans="1:10" s="10" customFormat="1" ht="15" customHeight="1">
      <c r="A30" s="439"/>
      <c r="B30" s="442"/>
      <c r="C30" s="442"/>
      <c r="D30" s="442"/>
      <c r="E30" s="306" t="s">
        <v>449</v>
      </c>
      <c r="F30" s="299">
        <v>2</v>
      </c>
      <c r="G30" s="304">
        <v>15000</v>
      </c>
      <c r="H30" s="307">
        <v>365</v>
      </c>
      <c r="I30" s="302">
        <f t="shared" si="0"/>
        <v>1.095E-2</v>
      </c>
      <c r="J30" s="436"/>
    </row>
    <row r="31" spans="1:10" s="10" customFormat="1" ht="15" customHeight="1">
      <c r="A31" s="437">
        <v>10</v>
      </c>
      <c r="B31" s="440" t="s">
        <v>82</v>
      </c>
      <c r="C31" s="440" t="s">
        <v>68</v>
      </c>
      <c r="D31" s="440" t="s">
        <v>69</v>
      </c>
      <c r="E31" s="298" t="s">
        <v>451</v>
      </c>
      <c r="F31" s="299">
        <v>1</v>
      </c>
      <c r="G31" s="300">
        <v>150000</v>
      </c>
      <c r="H31" s="301">
        <v>365</v>
      </c>
      <c r="I31" s="302">
        <f t="shared" si="0"/>
        <v>5.475E-2</v>
      </c>
      <c r="J31" s="434">
        <f>SUM(I31:I33)</f>
        <v>0.12045</v>
      </c>
    </row>
    <row r="32" spans="1:10" s="10" customFormat="1" ht="15" customHeight="1">
      <c r="A32" s="438"/>
      <c r="B32" s="441"/>
      <c r="C32" s="441"/>
      <c r="D32" s="441"/>
      <c r="E32" s="303" t="s">
        <v>450</v>
      </c>
      <c r="F32" s="299">
        <v>0</v>
      </c>
      <c r="G32" s="304">
        <v>60000</v>
      </c>
      <c r="H32" s="305">
        <v>365</v>
      </c>
      <c r="I32" s="302">
        <f t="shared" si="0"/>
        <v>0</v>
      </c>
      <c r="J32" s="435"/>
    </row>
    <row r="33" spans="1:10" s="10" customFormat="1" ht="15" customHeight="1">
      <c r="A33" s="439"/>
      <c r="B33" s="442"/>
      <c r="C33" s="442"/>
      <c r="D33" s="442"/>
      <c r="E33" s="306" t="s">
        <v>449</v>
      </c>
      <c r="F33" s="299">
        <v>12</v>
      </c>
      <c r="G33" s="304">
        <v>15000</v>
      </c>
      <c r="H33" s="307">
        <v>365</v>
      </c>
      <c r="I33" s="302">
        <f t="shared" si="0"/>
        <v>6.5699999999999995E-2</v>
      </c>
      <c r="J33" s="436"/>
    </row>
    <row r="34" spans="1:10" s="10" customFormat="1" ht="15" customHeight="1">
      <c r="A34" s="437">
        <v>11</v>
      </c>
      <c r="B34" s="440" t="s">
        <v>10</v>
      </c>
      <c r="C34" s="440" t="s">
        <v>68</v>
      </c>
      <c r="D34" s="440" t="s">
        <v>69</v>
      </c>
      <c r="E34" s="298" t="s">
        <v>451</v>
      </c>
      <c r="F34" s="299">
        <v>1</v>
      </c>
      <c r="G34" s="300">
        <v>150000</v>
      </c>
      <c r="H34" s="301">
        <v>365</v>
      </c>
      <c r="I34" s="302">
        <f t="shared" si="0"/>
        <v>5.475E-2</v>
      </c>
      <c r="J34" s="434">
        <f>SUM(I34:I36)</f>
        <v>6.5699999999999995E-2</v>
      </c>
    </row>
    <row r="35" spans="1:10" s="10" customFormat="1" ht="15" customHeight="1">
      <c r="A35" s="438"/>
      <c r="B35" s="441"/>
      <c r="C35" s="441"/>
      <c r="D35" s="441"/>
      <c r="E35" s="303" t="s">
        <v>450</v>
      </c>
      <c r="F35" s="299">
        <v>0</v>
      </c>
      <c r="G35" s="304">
        <v>60000</v>
      </c>
      <c r="H35" s="305">
        <v>365</v>
      </c>
      <c r="I35" s="302">
        <f t="shared" si="0"/>
        <v>0</v>
      </c>
      <c r="J35" s="435"/>
    </row>
    <row r="36" spans="1:10" s="10" customFormat="1" ht="15" customHeight="1">
      <c r="A36" s="439"/>
      <c r="B36" s="442"/>
      <c r="C36" s="442"/>
      <c r="D36" s="442"/>
      <c r="E36" s="306" t="s">
        <v>449</v>
      </c>
      <c r="F36" s="299">
        <v>2</v>
      </c>
      <c r="G36" s="304">
        <v>15000</v>
      </c>
      <c r="H36" s="307">
        <v>365</v>
      </c>
      <c r="I36" s="302">
        <f t="shared" ref="I36:I67" si="1">F36*G36*H36/1000000000</f>
        <v>1.095E-2</v>
      </c>
      <c r="J36" s="436"/>
    </row>
    <row r="37" spans="1:10" s="10" customFormat="1" ht="15" customHeight="1">
      <c r="A37" s="437">
        <v>12</v>
      </c>
      <c r="B37" s="440" t="s">
        <v>11</v>
      </c>
      <c r="C37" s="440" t="s">
        <v>68</v>
      </c>
      <c r="D37" s="440" t="s">
        <v>69</v>
      </c>
      <c r="E37" s="298" t="s">
        <v>451</v>
      </c>
      <c r="F37" s="299">
        <v>1</v>
      </c>
      <c r="G37" s="300">
        <v>150000</v>
      </c>
      <c r="H37" s="301">
        <v>365</v>
      </c>
      <c r="I37" s="302">
        <f t="shared" si="1"/>
        <v>5.475E-2</v>
      </c>
      <c r="J37" s="434">
        <f>SUM(I37:I39)</f>
        <v>6.0225000000000001E-2</v>
      </c>
    </row>
    <row r="38" spans="1:10" s="10" customFormat="1" ht="15" customHeight="1">
      <c r="A38" s="438"/>
      <c r="B38" s="441"/>
      <c r="C38" s="441"/>
      <c r="D38" s="441"/>
      <c r="E38" s="303" t="s">
        <v>450</v>
      </c>
      <c r="F38" s="299">
        <v>0</v>
      </c>
      <c r="G38" s="304">
        <v>60000</v>
      </c>
      <c r="H38" s="305">
        <v>365</v>
      </c>
      <c r="I38" s="302">
        <f t="shared" si="1"/>
        <v>0</v>
      </c>
      <c r="J38" s="435"/>
    </row>
    <row r="39" spans="1:10" s="10" customFormat="1" ht="15" customHeight="1">
      <c r="A39" s="439"/>
      <c r="B39" s="442"/>
      <c r="C39" s="442"/>
      <c r="D39" s="442"/>
      <c r="E39" s="306" t="s">
        <v>449</v>
      </c>
      <c r="F39" s="299">
        <v>1</v>
      </c>
      <c r="G39" s="304">
        <v>15000</v>
      </c>
      <c r="H39" s="307">
        <v>365</v>
      </c>
      <c r="I39" s="302">
        <f t="shared" si="1"/>
        <v>5.4749999999999998E-3</v>
      </c>
      <c r="J39" s="436"/>
    </row>
    <row r="40" spans="1:10" s="10" customFormat="1" ht="15" customHeight="1">
      <c r="A40" s="437">
        <v>13</v>
      </c>
      <c r="B40" s="440" t="s">
        <v>12</v>
      </c>
      <c r="C40" s="440" t="s">
        <v>68</v>
      </c>
      <c r="D40" s="440" t="s">
        <v>69</v>
      </c>
      <c r="E40" s="298" t="s">
        <v>451</v>
      </c>
      <c r="F40" s="299">
        <v>8</v>
      </c>
      <c r="G40" s="300">
        <v>150000</v>
      </c>
      <c r="H40" s="301">
        <v>365</v>
      </c>
      <c r="I40" s="302">
        <f t="shared" si="1"/>
        <v>0.438</v>
      </c>
      <c r="J40" s="434">
        <f>SUM(I40:I42)</f>
        <v>0.46537499999999998</v>
      </c>
    </row>
    <row r="41" spans="1:10" s="10" customFormat="1" ht="15" customHeight="1">
      <c r="A41" s="438"/>
      <c r="B41" s="441"/>
      <c r="C41" s="441"/>
      <c r="D41" s="441"/>
      <c r="E41" s="303" t="s">
        <v>450</v>
      </c>
      <c r="F41" s="299">
        <v>0</v>
      </c>
      <c r="G41" s="304">
        <v>60000</v>
      </c>
      <c r="H41" s="305">
        <v>365</v>
      </c>
      <c r="I41" s="302">
        <f t="shared" si="1"/>
        <v>0</v>
      </c>
      <c r="J41" s="435"/>
    </row>
    <row r="42" spans="1:10" s="10" customFormat="1" ht="15" customHeight="1">
      <c r="A42" s="439"/>
      <c r="B42" s="442"/>
      <c r="C42" s="442"/>
      <c r="D42" s="442"/>
      <c r="E42" s="306" t="s">
        <v>449</v>
      </c>
      <c r="F42" s="299">
        <v>5</v>
      </c>
      <c r="G42" s="304">
        <v>15000</v>
      </c>
      <c r="H42" s="307">
        <v>365</v>
      </c>
      <c r="I42" s="302">
        <f t="shared" si="1"/>
        <v>2.7375E-2</v>
      </c>
      <c r="J42" s="436"/>
    </row>
    <row r="43" spans="1:10" s="10" customFormat="1" ht="15" customHeight="1">
      <c r="A43" s="437">
        <v>14</v>
      </c>
      <c r="B43" s="440" t="s">
        <v>13</v>
      </c>
      <c r="C43" s="440" t="s">
        <v>68</v>
      </c>
      <c r="D43" s="440" t="s">
        <v>69</v>
      </c>
      <c r="E43" s="298" t="s">
        <v>451</v>
      </c>
      <c r="F43" s="299">
        <v>0</v>
      </c>
      <c r="G43" s="300">
        <v>150000</v>
      </c>
      <c r="H43" s="301">
        <v>365</v>
      </c>
      <c r="I43" s="302">
        <f t="shared" si="1"/>
        <v>0</v>
      </c>
      <c r="J43" s="434">
        <f>SUM(I43:I45)</f>
        <v>5.475E-2</v>
      </c>
    </row>
    <row r="44" spans="1:10" s="10" customFormat="1" ht="15" customHeight="1">
      <c r="A44" s="438"/>
      <c r="B44" s="441"/>
      <c r="C44" s="441"/>
      <c r="D44" s="441"/>
      <c r="E44" s="303" t="s">
        <v>450</v>
      </c>
      <c r="F44" s="299">
        <v>0</v>
      </c>
      <c r="G44" s="304">
        <v>60000</v>
      </c>
      <c r="H44" s="305">
        <v>365</v>
      </c>
      <c r="I44" s="302">
        <f t="shared" si="1"/>
        <v>0</v>
      </c>
      <c r="J44" s="435"/>
    </row>
    <row r="45" spans="1:10" s="10" customFormat="1" ht="15" customHeight="1">
      <c r="A45" s="439"/>
      <c r="B45" s="442"/>
      <c r="C45" s="442"/>
      <c r="D45" s="442"/>
      <c r="E45" s="306" t="s">
        <v>449</v>
      </c>
      <c r="F45" s="299">
        <v>10</v>
      </c>
      <c r="G45" s="304">
        <v>15000</v>
      </c>
      <c r="H45" s="307">
        <v>365</v>
      </c>
      <c r="I45" s="302">
        <f t="shared" si="1"/>
        <v>5.475E-2</v>
      </c>
      <c r="J45" s="436"/>
    </row>
    <row r="46" spans="1:10" s="10" customFormat="1" ht="15" customHeight="1">
      <c r="A46" s="437">
        <v>15</v>
      </c>
      <c r="B46" s="440" t="s">
        <v>83</v>
      </c>
      <c r="C46" s="440" t="s">
        <v>68</v>
      </c>
      <c r="D46" s="440" t="s">
        <v>69</v>
      </c>
      <c r="E46" s="298" t="s">
        <v>451</v>
      </c>
      <c r="F46" s="299">
        <v>3</v>
      </c>
      <c r="G46" s="300">
        <v>150000</v>
      </c>
      <c r="H46" s="301">
        <v>365</v>
      </c>
      <c r="I46" s="302">
        <f t="shared" si="1"/>
        <v>0.16425000000000001</v>
      </c>
      <c r="J46" s="434">
        <f>SUM(I46:I48)</f>
        <v>0.16425000000000001</v>
      </c>
    </row>
    <row r="47" spans="1:10" s="10" customFormat="1" ht="15" customHeight="1">
      <c r="A47" s="438"/>
      <c r="B47" s="441"/>
      <c r="C47" s="441"/>
      <c r="D47" s="441"/>
      <c r="E47" s="303" t="s">
        <v>450</v>
      </c>
      <c r="F47" s="299">
        <v>0</v>
      </c>
      <c r="G47" s="304">
        <v>60000</v>
      </c>
      <c r="H47" s="305">
        <v>365</v>
      </c>
      <c r="I47" s="302">
        <f t="shared" si="1"/>
        <v>0</v>
      </c>
      <c r="J47" s="435"/>
    </row>
    <row r="48" spans="1:10" s="10" customFormat="1" ht="15" customHeight="1">
      <c r="A48" s="439"/>
      <c r="B48" s="442"/>
      <c r="C48" s="442"/>
      <c r="D48" s="442"/>
      <c r="E48" s="306" t="s">
        <v>449</v>
      </c>
      <c r="F48" s="299">
        <v>0</v>
      </c>
      <c r="G48" s="304">
        <v>15000</v>
      </c>
      <c r="H48" s="307">
        <v>365</v>
      </c>
      <c r="I48" s="302">
        <f t="shared" si="1"/>
        <v>0</v>
      </c>
      <c r="J48" s="436"/>
    </row>
    <row r="49" spans="1:10" s="10" customFormat="1" ht="15" customHeight="1">
      <c r="A49" s="437">
        <v>16</v>
      </c>
      <c r="B49" s="440" t="s">
        <v>15</v>
      </c>
      <c r="C49" s="440" t="s">
        <v>68</v>
      </c>
      <c r="D49" s="440" t="s">
        <v>69</v>
      </c>
      <c r="E49" s="298" t="s">
        <v>451</v>
      </c>
      <c r="F49" s="308">
        <v>0</v>
      </c>
      <c r="G49" s="300">
        <v>150000</v>
      </c>
      <c r="H49" s="301">
        <v>365</v>
      </c>
      <c r="I49" s="302">
        <f t="shared" si="1"/>
        <v>0</v>
      </c>
      <c r="J49" s="434">
        <f>SUM(I49:I51)</f>
        <v>2.7375E-2</v>
      </c>
    </row>
    <row r="50" spans="1:10" s="10" customFormat="1" ht="15" customHeight="1">
      <c r="A50" s="438"/>
      <c r="B50" s="441"/>
      <c r="C50" s="441"/>
      <c r="D50" s="441"/>
      <c r="E50" s="303" t="s">
        <v>450</v>
      </c>
      <c r="F50" s="308">
        <v>0</v>
      </c>
      <c r="G50" s="304">
        <v>60000</v>
      </c>
      <c r="H50" s="305">
        <v>365</v>
      </c>
      <c r="I50" s="302">
        <f t="shared" si="1"/>
        <v>0</v>
      </c>
      <c r="J50" s="435"/>
    </row>
    <row r="51" spans="1:10" s="10" customFormat="1" ht="15" customHeight="1">
      <c r="A51" s="439"/>
      <c r="B51" s="442"/>
      <c r="C51" s="442"/>
      <c r="D51" s="442"/>
      <c r="E51" s="306" t="s">
        <v>449</v>
      </c>
      <c r="F51" s="308">
        <v>5</v>
      </c>
      <c r="G51" s="304">
        <v>15000</v>
      </c>
      <c r="H51" s="307">
        <v>365</v>
      </c>
      <c r="I51" s="302">
        <f t="shared" si="1"/>
        <v>2.7375E-2</v>
      </c>
      <c r="J51" s="436"/>
    </row>
    <row r="52" spans="1:10" s="10" customFormat="1" ht="15" customHeight="1">
      <c r="A52" s="437">
        <v>17</v>
      </c>
      <c r="B52" s="440" t="s">
        <v>16</v>
      </c>
      <c r="C52" s="440" t="s">
        <v>68</v>
      </c>
      <c r="D52" s="440" t="s">
        <v>69</v>
      </c>
      <c r="E52" s="298" t="s">
        <v>451</v>
      </c>
      <c r="F52" s="308">
        <v>0</v>
      </c>
      <c r="G52" s="300">
        <v>150000</v>
      </c>
      <c r="H52" s="301">
        <v>365</v>
      </c>
      <c r="I52" s="302">
        <f t="shared" si="1"/>
        <v>0</v>
      </c>
      <c r="J52" s="434">
        <f>SUM(I52:I54)</f>
        <v>0.12045</v>
      </c>
    </row>
    <row r="53" spans="1:10" s="10" customFormat="1" ht="15" customHeight="1">
      <c r="A53" s="438"/>
      <c r="B53" s="441"/>
      <c r="C53" s="441"/>
      <c r="D53" s="441"/>
      <c r="E53" s="303" t="s">
        <v>450</v>
      </c>
      <c r="F53" s="308">
        <v>3</v>
      </c>
      <c r="G53" s="304">
        <v>60000</v>
      </c>
      <c r="H53" s="305">
        <v>365</v>
      </c>
      <c r="I53" s="302">
        <f t="shared" si="1"/>
        <v>6.5699999999999995E-2</v>
      </c>
      <c r="J53" s="435"/>
    </row>
    <row r="54" spans="1:10" s="10" customFormat="1" ht="15" customHeight="1">
      <c r="A54" s="439"/>
      <c r="B54" s="442"/>
      <c r="C54" s="442"/>
      <c r="D54" s="442"/>
      <c r="E54" s="306" t="s">
        <v>449</v>
      </c>
      <c r="F54" s="308">
        <v>10</v>
      </c>
      <c r="G54" s="304">
        <v>15000</v>
      </c>
      <c r="H54" s="307">
        <v>365</v>
      </c>
      <c r="I54" s="302">
        <f t="shared" si="1"/>
        <v>5.475E-2</v>
      </c>
      <c r="J54" s="436"/>
    </row>
    <row r="55" spans="1:10" s="10" customFormat="1" ht="15" customHeight="1">
      <c r="A55" s="437">
        <v>24</v>
      </c>
      <c r="B55" s="440" t="s">
        <v>55</v>
      </c>
      <c r="C55" s="440" t="s">
        <v>68</v>
      </c>
      <c r="D55" s="440" t="s">
        <v>69</v>
      </c>
      <c r="E55" s="298" t="s">
        <v>451</v>
      </c>
      <c r="F55" s="308">
        <v>4</v>
      </c>
      <c r="G55" s="300">
        <v>150000</v>
      </c>
      <c r="H55" s="301">
        <v>365</v>
      </c>
      <c r="I55" s="302">
        <f t="shared" si="1"/>
        <v>0.219</v>
      </c>
      <c r="J55" s="434">
        <f>SUM(I55:I57)</f>
        <v>0.219</v>
      </c>
    </row>
    <row r="56" spans="1:10" s="10" customFormat="1" ht="15" customHeight="1">
      <c r="A56" s="438"/>
      <c r="B56" s="441"/>
      <c r="C56" s="441"/>
      <c r="D56" s="441"/>
      <c r="E56" s="303" t="s">
        <v>450</v>
      </c>
      <c r="F56" s="308">
        <v>0</v>
      </c>
      <c r="G56" s="304">
        <v>60000</v>
      </c>
      <c r="H56" s="305">
        <v>365</v>
      </c>
      <c r="I56" s="302">
        <f t="shared" si="1"/>
        <v>0</v>
      </c>
      <c r="J56" s="435"/>
    </row>
    <row r="57" spans="1:10" s="10" customFormat="1" ht="15" customHeight="1">
      <c r="A57" s="439"/>
      <c r="B57" s="442"/>
      <c r="C57" s="442"/>
      <c r="D57" s="442"/>
      <c r="E57" s="306" t="s">
        <v>449</v>
      </c>
      <c r="F57" s="308">
        <v>0</v>
      </c>
      <c r="G57" s="304">
        <v>15000</v>
      </c>
      <c r="H57" s="307">
        <v>365</v>
      </c>
      <c r="I57" s="302">
        <f t="shared" si="1"/>
        <v>0</v>
      </c>
      <c r="J57" s="436"/>
    </row>
    <row r="58" spans="1:10" s="10" customFormat="1" ht="15" customHeight="1">
      <c r="A58" s="437">
        <v>18</v>
      </c>
      <c r="B58" s="440" t="s">
        <v>17</v>
      </c>
      <c r="C58" s="440" t="s">
        <v>68</v>
      </c>
      <c r="D58" s="440" t="s">
        <v>69</v>
      </c>
      <c r="E58" s="298" t="s">
        <v>451</v>
      </c>
      <c r="F58" s="308">
        <v>2</v>
      </c>
      <c r="G58" s="300">
        <v>150000</v>
      </c>
      <c r="H58" s="301">
        <v>365</v>
      </c>
      <c r="I58" s="302">
        <f t="shared" si="1"/>
        <v>0.1095</v>
      </c>
      <c r="J58" s="434">
        <f>SUM(I58:I60)</f>
        <v>0.20257500000000001</v>
      </c>
    </row>
    <row r="59" spans="1:10" s="10" customFormat="1" ht="15" customHeight="1">
      <c r="A59" s="438"/>
      <c r="B59" s="441"/>
      <c r="C59" s="441"/>
      <c r="D59" s="441"/>
      <c r="E59" s="303" t="s">
        <v>450</v>
      </c>
      <c r="F59" s="308">
        <v>0</v>
      </c>
      <c r="G59" s="304">
        <v>60000</v>
      </c>
      <c r="H59" s="305">
        <v>365</v>
      </c>
      <c r="I59" s="302">
        <f t="shared" si="1"/>
        <v>0</v>
      </c>
      <c r="J59" s="435"/>
    </row>
    <row r="60" spans="1:10" s="10" customFormat="1" ht="15" customHeight="1">
      <c r="A60" s="439"/>
      <c r="B60" s="442"/>
      <c r="C60" s="442"/>
      <c r="D60" s="442"/>
      <c r="E60" s="306" t="s">
        <v>449</v>
      </c>
      <c r="F60" s="308">
        <v>17</v>
      </c>
      <c r="G60" s="304">
        <v>15000</v>
      </c>
      <c r="H60" s="307">
        <v>365</v>
      </c>
      <c r="I60" s="302">
        <f t="shared" si="1"/>
        <v>9.3075000000000005E-2</v>
      </c>
      <c r="J60" s="436"/>
    </row>
    <row r="61" spans="1:10" s="10" customFormat="1" ht="15" customHeight="1">
      <c r="A61" s="437">
        <v>19</v>
      </c>
      <c r="B61" s="440" t="s">
        <v>84</v>
      </c>
      <c r="C61" s="440" t="s">
        <v>68</v>
      </c>
      <c r="D61" s="440" t="s">
        <v>69</v>
      </c>
      <c r="E61" s="298" t="s">
        <v>451</v>
      </c>
      <c r="F61" s="308">
        <v>1</v>
      </c>
      <c r="G61" s="300">
        <v>150000</v>
      </c>
      <c r="H61" s="301">
        <v>365</v>
      </c>
      <c r="I61" s="302">
        <f t="shared" si="1"/>
        <v>5.475E-2</v>
      </c>
      <c r="J61" s="434">
        <f>SUM(I61:I63)</f>
        <v>6.0225000000000001E-2</v>
      </c>
    </row>
    <row r="62" spans="1:10" s="10" customFormat="1" ht="15" customHeight="1">
      <c r="A62" s="438"/>
      <c r="B62" s="441"/>
      <c r="C62" s="441"/>
      <c r="D62" s="441"/>
      <c r="E62" s="303" t="s">
        <v>450</v>
      </c>
      <c r="F62" s="308">
        <v>0</v>
      </c>
      <c r="G62" s="304">
        <v>60000</v>
      </c>
      <c r="H62" s="305">
        <v>365</v>
      </c>
      <c r="I62" s="302">
        <f t="shared" si="1"/>
        <v>0</v>
      </c>
      <c r="J62" s="435"/>
    </row>
    <row r="63" spans="1:10" s="10" customFormat="1" ht="15" customHeight="1">
      <c r="A63" s="439"/>
      <c r="B63" s="442"/>
      <c r="C63" s="442"/>
      <c r="D63" s="442"/>
      <c r="E63" s="306" t="s">
        <v>449</v>
      </c>
      <c r="F63" s="308">
        <v>1</v>
      </c>
      <c r="G63" s="304">
        <v>15000</v>
      </c>
      <c r="H63" s="307">
        <v>365</v>
      </c>
      <c r="I63" s="302">
        <f t="shared" si="1"/>
        <v>5.4749999999999998E-3</v>
      </c>
      <c r="J63" s="436"/>
    </row>
    <row r="64" spans="1:10" s="10" customFormat="1" ht="15" customHeight="1">
      <c r="A64" s="437">
        <v>20</v>
      </c>
      <c r="B64" s="440" t="s">
        <v>19</v>
      </c>
      <c r="C64" s="440" t="s">
        <v>68</v>
      </c>
      <c r="D64" s="440" t="s">
        <v>69</v>
      </c>
      <c r="E64" s="298" t="s">
        <v>451</v>
      </c>
      <c r="F64" s="308">
        <v>3</v>
      </c>
      <c r="G64" s="300">
        <v>150000</v>
      </c>
      <c r="H64" s="301">
        <v>365</v>
      </c>
      <c r="I64" s="302">
        <f t="shared" si="1"/>
        <v>0.16425000000000001</v>
      </c>
      <c r="J64" s="434">
        <f>SUM(I64:I66)</f>
        <v>0.16425000000000001</v>
      </c>
    </row>
    <row r="65" spans="1:10" s="10" customFormat="1" ht="15" customHeight="1">
      <c r="A65" s="438"/>
      <c r="B65" s="441"/>
      <c r="C65" s="441"/>
      <c r="D65" s="441"/>
      <c r="E65" s="303" t="s">
        <v>450</v>
      </c>
      <c r="F65" s="308">
        <v>0</v>
      </c>
      <c r="G65" s="304">
        <v>60000</v>
      </c>
      <c r="H65" s="305">
        <v>365</v>
      </c>
      <c r="I65" s="302">
        <f t="shared" si="1"/>
        <v>0</v>
      </c>
      <c r="J65" s="435"/>
    </row>
    <row r="66" spans="1:10" s="10" customFormat="1" ht="15" customHeight="1">
      <c r="A66" s="439"/>
      <c r="B66" s="442"/>
      <c r="C66" s="442"/>
      <c r="D66" s="442"/>
      <c r="E66" s="306" t="s">
        <v>449</v>
      </c>
      <c r="F66" s="308">
        <v>0</v>
      </c>
      <c r="G66" s="304">
        <v>15000</v>
      </c>
      <c r="H66" s="307">
        <v>365</v>
      </c>
      <c r="I66" s="302">
        <f t="shared" si="1"/>
        <v>0</v>
      </c>
      <c r="J66" s="436"/>
    </row>
    <row r="67" spans="1:10" s="10" customFormat="1" ht="15" customHeight="1">
      <c r="A67" s="437">
        <v>21</v>
      </c>
      <c r="B67" s="440" t="s">
        <v>20</v>
      </c>
      <c r="C67" s="440" t="s">
        <v>68</v>
      </c>
      <c r="D67" s="440" t="s">
        <v>69</v>
      </c>
      <c r="E67" s="298" t="s">
        <v>451</v>
      </c>
      <c r="F67" s="308">
        <v>4</v>
      </c>
      <c r="G67" s="300">
        <v>150000</v>
      </c>
      <c r="H67" s="301">
        <v>365</v>
      </c>
      <c r="I67" s="302">
        <f t="shared" si="1"/>
        <v>0.219</v>
      </c>
      <c r="J67" s="434">
        <f>SUM(I67:I69)</f>
        <v>0.22447500000000001</v>
      </c>
    </row>
    <row r="68" spans="1:10" s="10" customFormat="1" ht="15" customHeight="1">
      <c r="A68" s="438"/>
      <c r="B68" s="441"/>
      <c r="C68" s="441"/>
      <c r="D68" s="441"/>
      <c r="E68" s="303" t="s">
        <v>450</v>
      </c>
      <c r="F68" s="308">
        <v>0</v>
      </c>
      <c r="G68" s="304">
        <v>60000</v>
      </c>
      <c r="H68" s="305">
        <v>365</v>
      </c>
      <c r="I68" s="302">
        <f t="shared" ref="I68:I99" si="2">F68*G68*H68/1000000000</f>
        <v>0</v>
      </c>
      <c r="J68" s="435"/>
    </row>
    <row r="69" spans="1:10" s="10" customFormat="1" ht="15" customHeight="1">
      <c r="A69" s="439"/>
      <c r="B69" s="442"/>
      <c r="C69" s="442"/>
      <c r="D69" s="442"/>
      <c r="E69" s="306" t="s">
        <v>449</v>
      </c>
      <c r="F69" s="308">
        <v>1</v>
      </c>
      <c r="G69" s="304">
        <v>15000</v>
      </c>
      <c r="H69" s="307">
        <v>365</v>
      </c>
      <c r="I69" s="302">
        <f t="shared" si="2"/>
        <v>5.4749999999999998E-3</v>
      </c>
      <c r="J69" s="436"/>
    </row>
    <row r="70" spans="1:10" s="10" customFormat="1" ht="15" customHeight="1">
      <c r="A70" s="437">
        <v>22</v>
      </c>
      <c r="B70" s="440" t="s">
        <v>21</v>
      </c>
      <c r="C70" s="440" t="s">
        <v>68</v>
      </c>
      <c r="D70" s="440" t="s">
        <v>69</v>
      </c>
      <c r="E70" s="298" t="s">
        <v>451</v>
      </c>
      <c r="F70" s="308">
        <v>2</v>
      </c>
      <c r="G70" s="300">
        <v>150000</v>
      </c>
      <c r="H70" s="301">
        <v>365</v>
      </c>
      <c r="I70" s="302">
        <f t="shared" si="2"/>
        <v>0.1095</v>
      </c>
      <c r="J70" s="434">
        <f>SUM(I70:I72)</f>
        <v>0.14235</v>
      </c>
    </row>
    <row r="71" spans="1:10" s="10" customFormat="1" ht="15" customHeight="1">
      <c r="A71" s="438"/>
      <c r="B71" s="441"/>
      <c r="C71" s="441"/>
      <c r="D71" s="441"/>
      <c r="E71" s="303" t="s">
        <v>450</v>
      </c>
      <c r="F71" s="308">
        <v>0</v>
      </c>
      <c r="G71" s="304">
        <v>60000</v>
      </c>
      <c r="H71" s="305">
        <v>365</v>
      </c>
      <c r="I71" s="302">
        <f t="shared" si="2"/>
        <v>0</v>
      </c>
      <c r="J71" s="435"/>
    </row>
    <row r="72" spans="1:10" s="10" customFormat="1" ht="15" customHeight="1">
      <c r="A72" s="439"/>
      <c r="B72" s="442"/>
      <c r="C72" s="442"/>
      <c r="D72" s="442"/>
      <c r="E72" s="306" t="s">
        <v>449</v>
      </c>
      <c r="F72" s="308">
        <v>6</v>
      </c>
      <c r="G72" s="304">
        <v>15000</v>
      </c>
      <c r="H72" s="307">
        <v>365</v>
      </c>
      <c r="I72" s="302">
        <f t="shared" si="2"/>
        <v>3.2849999999999997E-2</v>
      </c>
      <c r="J72" s="436"/>
    </row>
    <row r="73" spans="1:10" s="10" customFormat="1" ht="15" customHeight="1">
      <c r="A73" s="437">
        <v>23</v>
      </c>
      <c r="B73" s="440" t="s">
        <v>85</v>
      </c>
      <c r="C73" s="440" t="s">
        <v>68</v>
      </c>
      <c r="D73" s="440" t="s">
        <v>69</v>
      </c>
      <c r="E73" s="298" t="s">
        <v>451</v>
      </c>
      <c r="F73" s="308">
        <v>0</v>
      </c>
      <c r="G73" s="300">
        <v>150000</v>
      </c>
      <c r="H73" s="301">
        <v>365</v>
      </c>
      <c r="I73" s="302">
        <f t="shared" si="2"/>
        <v>0</v>
      </c>
      <c r="J73" s="434">
        <f>SUM(I73:I75)</f>
        <v>0</v>
      </c>
    </row>
    <row r="74" spans="1:10" s="10" customFormat="1" ht="15" customHeight="1">
      <c r="A74" s="438"/>
      <c r="B74" s="441"/>
      <c r="C74" s="441"/>
      <c r="D74" s="441"/>
      <c r="E74" s="303" t="s">
        <v>450</v>
      </c>
      <c r="F74" s="308">
        <v>0</v>
      </c>
      <c r="G74" s="304">
        <v>60000</v>
      </c>
      <c r="H74" s="305">
        <v>365</v>
      </c>
      <c r="I74" s="302">
        <f t="shared" si="2"/>
        <v>0</v>
      </c>
      <c r="J74" s="435"/>
    </row>
    <row r="75" spans="1:10" s="10" customFormat="1" ht="15" customHeight="1">
      <c r="A75" s="439"/>
      <c r="B75" s="442"/>
      <c r="C75" s="442"/>
      <c r="D75" s="442"/>
      <c r="E75" s="306" t="s">
        <v>449</v>
      </c>
      <c r="F75" s="308">
        <v>0</v>
      </c>
      <c r="G75" s="304">
        <v>15000</v>
      </c>
      <c r="H75" s="307">
        <v>365</v>
      </c>
      <c r="I75" s="302">
        <f t="shared" si="2"/>
        <v>0</v>
      </c>
      <c r="J75" s="436"/>
    </row>
    <row r="76" spans="1:10" s="10" customFormat="1" ht="15" customHeight="1">
      <c r="A76" s="437">
        <v>25</v>
      </c>
      <c r="B76" s="440" t="s">
        <v>23</v>
      </c>
      <c r="C76" s="440" t="s">
        <v>68</v>
      </c>
      <c r="D76" s="440" t="s">
        <v>69</v>
      </c>
      <c r="E76" s="298" t="s">
        <v>451</v>
      </c>
      <c r="F76" s="308">
        <v>1</v>
      </c>
      <c r="G76" s="300">
        <v>150000</v>
      </c>
      <c r="H76" s="301">
        <v>365</v>
      </c>
      <c r="I76" s="302">
        <f t="shared" si="2"/>
        <v>5.475E-2</v>
      </c>
      <c r="J76" s="434">
        <f>SUM(I76:I78)</f>
        <v>8.7599999999999997E-2</v>
      </c>
    </row>
    <row r="77" spans="1:10" s="10" customFormat="1" ht="15" customHeight="1">
      <c r="A77" s="438"/>
      <c r="B77" s="441"/>
      <c r="C77" s="441"/>
      <c r="D77" s="441"/>
      <c r="E77" s="303" t="s">
        <v>450</v>
      </c>
      <c r="F77" s="308">
        <v>0</v>
      </c>
      <c r="G77" s="304">
        <v>60000</v>
      </c>
      <c r="H77" s="305">
        <v>365</v>
      </c>
      <c r="I77" s="302">
        <f t="shared" si="2"/>
        <v>0</v>
      </c>
      <c r="J77" s="435"/>
    </row>
    <row r="78" spans="1:10" s="10" customFormat="1" ht="15" customHeight="1">
      <c r="A78" s="439"/>
      <c r="B78" s="442"/>
      <c r="C78" s="442"/>
      <c r="D78" s="442"/>
      <c r="E78" s="306" t="s">
        <v>449</v>
      </c>
      <c r="F78" s="308">
        <v>6</v>
      </c>
      <c r="G78" s="304">
        <v>15000</v>
      </c>
      <c r="H78" s="307">
        <v>365</v>
      </c>
      <c r="I78" s="302">
        <f t="shared" si="2"/>
        <v>3.2849999999999997E-2</v>
      </c>
      <c r="J78" s="436"/>
    </row>
    <row r="79" spans="1:10" s="10" customFormat="1" ht="15" customHeight="1">
      <c r="A79" s="437">
        <v>26</v>
      </c>
      <c r="B79" s="440" t="s">
        <v>24</v>
      </c>
      <c r="C79" s="440" t="s">
        <v>68</v>
      </c>
      <c r="D79" s="440" t="s">
        <v>69</v>
      </c>
      <c r="E79" s="298" t="s">
        <v>451</v>
      </c>
      <c r="F79" s="308">
        <v>0</v>
      </c>
      <c r="G79" s="300">
        <v>150000</v>
      </c>
      <c r="H79" s="301">
        <v>365</v>
      </c>
      <c r="I79" s="302">
        <f t="shared" si="2"/>
        <v>0</v>
      </c>
      <c r="J79" s="434">
        <f>SUM(I79:I81)</f>
        <v>2.1899999999999999E-2</v>
      </c>
    </row>
    <row r="80" spans="1:10" s="10" customFormat="1" ht="15" customHeight="1">
      <c r="A80" s="438"/>
      <c r="B80" s="441"/>
      <c r="C80" s="441"/>
      <c r="D80" s="441"/>
      <c r="E80" s="303" t="s">
        <v>450</v>
      </c>
      <c r="F80" s="308">
        <v>0</v>
      </c>
      <c r="G80" s="304">
        <v>60000</v>
      </c>
      <c r="H80" s="305">
        <v>365</v>
      </c>
      <c r="I80" s="302">
        <f t="shared" si="2"/>
        <v>0</v>
      </c>
      <c r="J80" s="435"/>
    </row>
    <row r="81" spans="1:10" s="10" customFormat="1" ht="15" customHeight="1">
      <c r="A81" s="439"/>
      <c r="B81" s="442"/>
      <c r="C81" s="442"/>
      <c r="D81" s="442"/>
      <c r="E81" s="306" t="s">
        <v>449</v>
      </c>
      <c r="F81" s="308">
        <v>4</v>
      </c>
      <c r="G81" s="304">
        <v>15000</v>
      </c>
      <c r="H81" s="307">
        <v>365</v>
      </c>
      <c r="I81" s="302">
        <f t="shared" si="2"/>
        <v>2.1899999999999999E-2</v>
      </c>
      <c r="J81" s="436"/>
    </row>
    <row r="82" spans="1:10" s="10" customFormat="1" ht="15" customHeight="1">
      <c r="A82" s="437">
        <v>27</v>
      </c>
      <c r="B82" s="440" t="s">
        <v>25</v>
      </c>
      <c r="C82" s="440" t="s">
        <v>68</v>
      </c>
      <c r="D82" s="440" t="s">
        <v>69</v>
      </c>
      <c r="E82" s="298" t="s">
        <v>451</v>
      </c>
      <c r="F82" s="308">
        <v>1</v>
      </c>
      <c r="G82" s="300">
        <v>150000</v>
      </c>
      <c r="H82" s="301">
        <v>365</v>
      </c>
      <c r="I82" s="302">
        <f t="shared" si="2"/>
        <v>5.475E-2</v>
      </c>
      <c r="J82" s="434">
        <f>SUM(I82:I84)</f>
        <v>5.475E-2</v>
      </c>
    </row>
    <row r="83" spans="1:10" s="10" customFormat="1" ht="15" customHeight="1">
      <c r="A83" s="438"/>
      <c r="B83" s="441"/>
      <c r="C83" s="441"/>
      <c r="D83" s="441"/>
      <c r="E83" s="303" t="s">
        <v>450</v>
      </c>
      <c r="F83" s="308">
        <v>0</v>
      </c>
      <c r="G83" s="304">
        <v>60000</v>
      </c>
      <c r="H83" s="305">
        <v>365</v>
      </c>
      <c r="I83" s="302">
        <f t="shared" si="2"/>
        <v>0</v>
      </c>
      <c r="J83" s="435"/>
    </row>
    <row r="84" spans="1:10" s="10" customFormat="1" ht="15" customHeight="1">
      <c r="A84" s="439"/>
      <c r="B84" s="442"/>
      <c r="C84" s="442"/>
      <c r="D84" s="442"/>
      <c r="E84" s="306" t="s">
        <v>449</v>
      </c>
      <c r="F84" s="308">
        <v>0</v>
      </c>
      <c r="G84" s="304">
        <v>15000</v>
      </c>
      <c r="H84" s="307">
        <v>365</v>
      </c>
      <c r="I84" s="302">
        <f t="shared" si="2"/>
        <v>0</v>
      </c>
      <c r="J84" s="436"/>
    </row>
    <row r="85" spans="1:10" s="10" customFormat="1" ht="15" customHeight="1">
      <c r="A85" s="437">
        <v>28</v>
      </c>
      <c r="B85" s="440" t="s">
        <v>26</v>
      </c>
      <c r="C85" s="440" t="s">
        <v>68</v>
      </c>
      <c r="D85" s="440" t="s">
        <v>69</v>
      </c>
      <c r="E85" s="298" t="s">
        <v>451</v>
      </c>
      <c r="F85" s="308">
        <v>1</v>
      </c>
      <c r="G85" s="300">
        <v>150000</v>
      </c>
      <c r="H85" s="301">
        <v>365</v>
      </c>
      <c r="I85" s="302">
        <f t="shared" si="2"/>
        <v>5.475E-2</v>
      </c>
      <c r="J85" s="434">
        <f>SUM(I85:I87)</f>
        <v>9.3074999999999991E-2</v>
      </c>
    </row>
    <row r="86" spans="1:10" s="10" customFormat="1" ht="15" customHeight="1">
      <c r="A86" s="438"/>
      <c r="B86" s="441"/>
      <c r="C86" s="441"/>
      <c r="D86" s="441"/>
      <c r="E86" s="303" t="s">
        <v>450</v>
      </c>
      <c r="F86" s="308">
        <v>0</v>
      </c>
      <c r="G86" s="304">
        <v>60000</v>
      </c>
      <c r="H86" s="305">
        <v>365</v>
      </c>
      <c r="I86" s="302">
        <f t="shared" si="2"/>
        <v>0</v>
      </c>
      <c r="J86" s="435"/>
    </row>
    <row r="87" spans="1:10" s="10" customFormat="1" ht="15" customHeight="1">
      <c r="A87" s="439"/>
      <c r="B87" s="442"/>
      <c r="C87" s="442"/>
      <c r="D87" s="442"/>
      <c r="E87" s="306" t="s">
        <v>449</v>
      </c>
      <c r="F87" s="308">
        <v>7</v>
      </c>
      <c r="G87" s="304">
        <v>15000</v>
      </c>
      <c r="H87" s="307">
        <v>365</v>
      </c>
      <c r="I87" s="302">
        <f t="shared" si="2"/>
        <v>3.8324999999999998E-2</v>
      </c>
      <c r="J87" s="436"/>
    </row>
    <row r="88" spans="1:10" s="10" customFormat="1" ht="15" customHeight="1">
      <c r="A88" s="437">
        <v>29</v>
      </c>
      <c r="B88" s="440" t="s">
        <v>27</v>
      </c>
      <c r="C88" s="440" t="s">
        <v>68</v>
      </c>
      <c r="D88" s="440" t="s">
        <v>69</v>
      </c>
      <c r="E88" s="298" t="s">
        <v>451</v>
      </c>
      <c r="F88" s="308">
        <v>3</v>
      </c>
      <c r="G88" s="300">
        <v>150000</v>
      </c>
      <c r="H88" s="301">
        <v>365</v>
      </c>
      <c r="I88" s="302">
        <f t="shared" si="2"/>
        <v>0.16425000000000001</v>
      </c>
      <c r="J88" s="434">
        <f>SUM(I88:I90)</f>
        <v>0.16972500000000001</v>
      </c>
    </row>
    <row r="89" spans="1:10" s="10" customFormat="1" ht="15" customHeight="1">
      <c r="A89" s="438"/>
      <c r="B89" s="441"/>
      <c r="C89" s="441"/>
      <c r="D89" s="441"/>
      <c r="E89" s="303" t="s">
        <v>450</v>
      </c>
      <c r="F89" s="308">
        <v>0</v>
      </c>
      <c r="G89" s="304">
        <v>60000</v>
      </c>
      <c r="H89" s="305">
        <v>365</v>
      </c>
      <c r="I89" s="302">
        <f t="shared" si="2"/>
        <v>0</v>
      </c>
      <c r="J89" s="435"/>
    </row>
    <row r="90" spans="1:10" s="10" customFormat="1" ht="15" customHeight="1">
      <c r="A90" s="439"/>
      <c r="B90" s="442"/>
      <c r="C90" s="442"/>
      <c r="D90" s="442"/>
      <c r="E90" s="306" t="s">
        <v>449</v>
      </c>
      <c r="F90" s="308">
        <v>1</v>
      </c>
      <c r="G90" s="304">
        <v>15000</v>
      </c>
      <c r="H90" s="307">
        <v>365</v>
      </c>
      <c r="I90" s="302">
        <f t="shared" si="2"/>
        <v>5.4749999999999998E-3</v>
      </c>
      <c r="J90" s="436"/>
    </row>
    <row r="91" spans="1:10" s="10" customFormat="1" ht="15" customHeight="1">
      <c r="A91" s="437">
        <v>30</v>
      </c>
      <c r="B91" s="440" t="s">
        <v>79</v>
      </c>
      <c r="C91" s="440" t="s">
        <v>68</v>
      </c>
      <c r="D91" s="440" t="s">
        <v>69</v>
      </c>
      <c r="E91" s="298" t="s">
        <v>451</v>
      </c>
      <c r="F91" s="308">
        <v>1</v>
      </c>
      <c r="G91" s="300">
        <v>150000</v>
      </c>
      <c r="H91" s="301">
        <v>365</v>
      </c>
      <c r="I91" s="302">
        <f t="shared" si="2"/>
        <v>5.475E-2</v>
      </c>
      <c r="J91" s="434">
        <f>SUM(I91:I93)</f>
        <v>0.12045</v>
      </c>
    </row>
    <row r="92" spans="1:10" s="10" customFormat="1" ht="15" customHeight="1">
      <c r="A92" s="438"/>
      <c r="B92" s="441"/>
      <c r="C92" s="441"/>
      <c r="D92" s="441"/>
      <c r="E92" s="303" t="s">
        <v>450</v>
      </c>
      <c r="F92" s="308">
        <v>0</v>
      </c>
      <c r="G92" s="304">
        <v>60000</v>
      </c>
      <c r="H92" s="305">
        <v>365</v>
      </c>
      <c r="I92" s="302">
        <f t="shared" si="2"/>
        <v>0</v>
      </c>
      <c r="J92" s="435"/>
    </row>
    <row r="93" spans="1:10" s="10" customFormat="1" ht="15" customHeight="1">
      <c r="A93" s="439"/>
      <c r="B93" s="442"/>
      <c r="C93" s="442"/>
      <c r="D93" s="442"/>
      <c r="E93" s="306" t="s">
        <v>449</v>
      </c>
      <c r="F93" s="308">
        <v>12</v>
      </c>
      <c r="G93" s="304">
        <v>15000</v>
      </c>
      <c r="H93" s="307">
        <v>365</v>
      </c>
      <c r="I93" s="302">
        <f t="shared" si="2"/>
        <v>6.5699999999999995E-2</v>
      </c>
      <c r="J93" s="436"/>
    </row>
    <row r="94" spans="1:10" s="10" customFormat="1" ht="15" customHeight="1">
      <c r="A94" s="437">
        <v>31</v>
      </c>
      <c r="B94" s="440" t="s">
        <v>29</v>
      </c>
      <c r="C94" s="440" t="s">
        <v>68</v>
      </c>
      <c r="D94" s="440" t="s">
        <v>69</v>
      </c>
      <c r="E94" s="298" t="s">
        <v>451</v>
      </c>
      <c r="F94" s="308">
        <v>1</v>
      </c>
      <c r="G94" s="300">
        <v>150000</v>
      </c>
      <c r="H94" s="301">
        <v>365</v>
      </c>
      <c r="I94" s="302">
        <f t="shared" si="2"/>
        <v>5.475E-2</v>
      </c>
      <c r="J94" s="434">
        <f>SUM(I94:I96)</f>
        <v>0.13139999999999999</v>
      </c>
    </row>
    <row r="95" spans="1:10" s="10" customFormat="1" ht="15" customHeight="1">
      <c r="A95" s="438"/>
      <c r="B95" s="441"/>
      <c r="C95" s="441"/>
      <c r="D95" s="441"/>
      <c r="E95" s="303" t="s">
        <v>450</v>
      </c>
      <c r="F95" s="308">
        <v>1</v>
      </c>
      <c r="G95" s="304">
        <v>60000</v>
      </c>
      <c r="H95" s="305">
        <v>365</v>
      </c>
      <c r="I95" s="302">
        <f t="shared" si="2"/>
        <v>2.1899999999999999E-2</v>
      </c>
      <c r="J95" s="435"/>
    </row>
    <row r="96" spans="1:10" s="10" customFormat="1" ht="15" customHeight="1">
      <c r="A96" s="439"/>
      <c r="B96" s="442"/>
      <c r="C96" s="442"/>
      <c r="D96" s="442"/>
      <c r="E96" s="306" t="s">
        <v>449</v>
      </c>
      <c r="F96" s="308">
        <v>10</v>
      </c>
      <c r="G96" s="304">
        <v>15000</v>
      </c>
      <c r="H96" s="307">
        <v>365</v>
      </c>
      <c r="I96" s="302">
        <f t="shared" si="2"/>
        <v>5.475E-2</v>
      </c>
      <c r="J96" s="436"/>
    </row>
    <row r="97" spans="1:10" s="10" customFormat="1" ht="15" customHeight="1">
      <c r="A97" s="437">
        <v>32</v>
      </c>
      <c r="B97" s="440" t="s">
        <v>30</v>
      </c>
      <c r="C97" s="440" t="s">
        <v>68</v>
      </c>
      <c r="D97" s="440" t="s">
        <v>69</v>
      </c>
      <c r="E97" s="298" t="s">
        <v>451</v>
      </c>
      <c r="F97" s="308">
        <v>12</v>
      </c>
      <c r="G97" s="300">
        <v>150000</v>
      </c>
      <c r="H97" s="301">
        <v>365</v>
      </c>
      <c r="I97" s="302">
        <f t="shared" si="2"/>
        <v>0.65700000000000003</v>
      </c>
      <c r="J97" s="434">
        <f>SUM(I97:I99)</f>
        <v>0.66795000000000004</v>
      </c>
    </row>
    <row r="98" spans="1:10" s="10" customFormat="1" ht="15" customHeight="1">
      <c r="A98" s="438"/>
      <c r="B98" s="441"/>
      <c r="C98" s="441"/>
      <c r="D98" s="441"/>
      <c r="E98" s="303" t="s">
        <v>450</v>
      </c>
      <c r="F98" s="308">
        <v>0</v>
      </c>
      <c r="G98" s="304">
        <v>60000</v>
      </c>
      <c r="H98" s="305">
        <v>365</v>
      </c>
      <c r="I98" s="302">
        <f t="shared" si="2"/>
        <v>0</v>
      </c>
      <c r="J98" s="435"/>
    </row>
    <row r="99" spans="1:10" s="10" customFormat="1" ht="15" customHeight="1">
      <c r="A99" s="439"/>
      <c r="B99" s="442"/>
      <c r="C99" s="442"/>
      <c r="D99" s="442"/>
      <c r="E99" s="306" t="s">
        <v>449</v>
      </c>
      <c r="F99" s="308">
        <v>2</v>
      </c>
      <c r="G99" s="304">
        <v>15000</v>
      </c>
      <c r="H99" s="307">
        <v>365</v>
      </c>
      <c r="I99" s="302">
        <f t="shared" si="2"/>
        <v>1.095E-2</v>
      </c>
      <c r="J99" s="436"/>
    </row>
    <row r="100" spans="1:10" s="10" customFormat="1" ht="15" customHeight="1">
      <c r="A100" s="437">
        <v>33</v>
      </c>
      <c r="B100" s="440" t="s">
        <v>31</v>
      </c>
      <c r="C100" s="440" t="s">
        <v>68</v>
      </c>
      <c r="D100" s="440" t="s">
        <v>69</v>
      </c>
      <c r="E100" s="298" t="s">
        <v>451</v>
      </c>
      <c r="F100" s="308">
        <v>2</v>
      </c>
      <c r="G100" s="300">
        <v>150000</v>
      </c>
      <c r="H100" s="301">
        <v>365</v>
      </c>
      <c r="I100" s="302">
        <f t="shared" ref="I100:I131" si="3">F100*G100*H100/1000000000</f>
        <v>0.1095</v>
      </c>
      <c r="J100" s="434">
        <f>SUM(I100:I102)</f>
        <v>0.25185000000000002</v>
      </c>
    </row>
    <row r="101" spans="1:10" s="10" customFormat="1" ht="15" customHeight="1">
      <c r="A101" s="438"/>
      <c r="B101" s="441"/>
      <c r="C101" s="441"/>
      <c r="D101" s="441"/>
      <c r="E101" s="303" t="s">
        <v>450</v>
      </c>
      <c r="F101" s="308">
        <v>1</v>
      </c>
      <c r="G101" s="304">
        <v>60000</v>
      </c>
      <c r="H101" s="305">
        <v>365</v>
      </c>
      <c r="I101" s="302">
        <f t="shared" si="3"/>
        <v>2.1899999999999999E-2</v>
      </c>
      <c r="J101" s="435"/>
    </row>
    <row r="102" spans="1:10" s="10" customFormat="1" ht="15" customHeight="1">
      <c r="A102" s="439"/>
      <c r="B102" s="442"/>
      <c r="C102" s="442"/>
      <c r="D102" s="442"/>
      <c r="E102" s="306" t="s">
        <v>449</v>
      </c>
      <c r="F102" s="308">
        <v>22</v>
      </c>
      <c r="G102" s="304">
        <v>15000</v>
      </c>
      <c r="H102" s="307">
        <v>365</v>
      </c>
      <c r="I102" s="302">
        <f t="shared" si="3"/>
        <v>0.12045</v>
      </c>
      <c r="J102" s="436"/>
    </row>
    <row r="103" spans="1:10" s="10" customFormat="1" ht="15" customHeight="1">
      <c r="A103" s="437">
        <v>34</v>
      </c>
      <c r="B103" s="440" t="s">
        <v>32</v>
      </c>
      <c r="C103" s="440" t="s">
        <v>68</v>
      </c>
      <c r="D103" s="440" t="s">
        <v>69</v>
      </c>
      <c r="E103" s="298" t="s">
        <v>451</v>
      </c>
      <c r="F103" s="308">
        <v>2</v>
      </c>
      <c r="G103" s="300">
        <v>150000</v>
      </c>
      <c r="H103" s="301">
        <v>365</v>
      </c>
      <c r="I103" s="302">
        <f t="shared" si="3"/>
        <v>0.1095</v>
      </c>
      <c r="J103" s="434">
        <f>SUM(I103:I105)</f>
        <v>0.11497499999999999</v>
      </c>
    </row>
    <row r="104" spans="1:10" s="10" customFormat="1" ht="15" customHeight="1">
      <c r="A104" s="438"/>
      <c r="B104" s="441"/>
      <c r="C104" s="441"/>
      <c r="D104" s="441"/>
      <c r="E104" s="303" t="s">
        <v>450</v>
      </c>
      <c r="F104" s="308">
        <v>0</v>
      </c>
      <c r="G104" s="304">
        <v>60000</v>
      </c>
      <c r="H104" s="305">
        <v>365</v>
      </c>
      <c r="I104" s="302">
        <f t="shared" si="3"/>
        <v>0</v>
      </c>
      <c r="J104" s="435"/>
    </row>
    <row r="105" spans="1:10" s="10" customFormat="1" ht="15" customHeight="1">
      <c r="A105" s="439"/>
      <c r="B105" s="442"/>
      <c r="C105" s="442"/>
      <c r="D105" s="442"/>
      <c r="E105" s="306" t="s">
        <v>449</v>
      </c>
      <c r="F105" s="308">
        <v>1</v>
      </c>
      <c r="G105" s="304">
        <v>15000</v>
      </c>
      <c r="H105" s="307">
        <v>365</v>
      </c>
      <c r="I105" s="302">
        <f t="shared" si="3"/>
        <v>5.4749999999999998E-3</v>
      </c>
      <c r="J105" s="436"/>
    </row>
    <row r="106" spans="1:10" s="10" customFormat="1" ht="15" customHeight="1">
      <c r="A106" s="437">
        <v>35</v>
      </c>
      <c r="B106" s="440" t="s">
        <v>33</v>
      </c>
      <c r="C106" s="440" t="s">
        <v>68</v>
      </c>
      <c r="D106" s="440" t="s">
        <v>69</v>
      </c>
      <c r="E106" s="298" t="s">
        <v>451</v>
      </c>
      <c r="F106" s="308">
        <v>0</v>
      </c>
      <c r="G106" s="300">
        <v>150000</v>
      </c>
      <c r="H106" s="301">
        <v>365</v>
      </c>
      <c r="I106" s="302">
        <f t="shared" si="3"/>
        <v>0</v>
      </c>
      <c r="J106" s="434">
        <f>SUM(I106:I108)</f>
        <v>0</v>
      </c>
    </row>
    <row r="107" spans="1:10" s="10" customFormat="1" ht="15" customHeight="1">
      <c r="A107" s="438"/>
      <c r="B107" s="441"/>
      <c r="C107" s="441"/>
      <c r="D107" s="441"/>
      <c r="E107" s="303" t="s">
        <v>450</v>
      </c>
      <c r="F107" s="308">
        <v>0</v>
      </c>
      <c r="G107" s="304">
        <v>60000</v>
      </c>
      <c r="H107" s="305">
        <v>365</v>
      </c>
      <c r="I107" s="302">
        <f t="shared" si="3"/>
        <v>0</v>
      </c>
      <c r="J107" s="435"/>
    </row>
    <row r="108" spans="1:10" s="10" customFormat="1" ht="15" customHeight="1">
      <c r="A108" s="439"/>
      <c r="B108" s="442"/>
      <c r="C108" s="442"/>
      <c r="D108" s="442"/>
      <c r="E108" s="306" t="s">
        <v>449</v>
      </c>
      <c r="F108" s="308">
        <v>0</v>
      </c>
      <c r="G108" s="304">
        <v>15000</v>
      </c>
      <c r="H108" s="307">
        <v>365</v>
      </c>
      <c r="I108" s="302">
        <f t="shared" si="3"/>
        <v>0</v>
      </c>
      <c r="J108" s="436"/>
    </row>
    <row r="109" spans="1:10" s="10" customFormat="1" ht="15" customHeight="1">
      <c r="A109" s="437">
        <v>36</v>
      </c>
      <c r="B109" s="440" t="s">
        <v>34</v>
      </c>
      <c r="C109" s="440" t="s">
        <v>68</v>
      </c>
      <c r="D109" s="440" t="s">
        <v>69</v>
      </c>
      <c r="E109" s="298" t="s">
        <v>451</v>
      </c>
      <c r="F109" s="308">
        <v>1</v>
      </c>
      <c r="G109" s="300">
        <v>150000</v>
      </c>
      <c r="H109" s="301">
        <v>365</v>
      </c>
      <c r="I109" s="302">
        <f t="shared" si="3"/>
        <v>5.475E-2</v>
      </c>
      <c r="J109" s="434">
        <f>SUM(I109:I111)</f>
        <v>0.14235</v>
      </c>
    </row>
    <row r="110" spans="1:10" s="10" customFormat="1" ht="15" customHeight="1">
      <c r="A110" s="438"/>
      <c r="B110" s="441"/>
      <c r="C110" s="441"/>
      <c r="D110" s="441"/>
      <c r="E110" s="303" t="s">
        <v>450</v>
      </c>
      <c r="F110" s="308">
        <v>0</v>
      </c>
      <c r="G110" s="304">
        <v>60000</v>
      </c>
      <c r="H110" s="305">
        <v>365</v>
      </c>
      <c r="I110" s="302">
        <f t="shared" si="3"/>
        <v>0</v>
      </c>
      <c r="J110" s="435"/>
    </row>
    <row r="111" spans="1:10" s="10" customFormat="1" ht="15" customHeight="1">
      <c r="A111" s="439"/>
      <c r="B111" s="442"/>
      <c r="C111" s="442"/>
      <c r="D111" s="442"/>
      <c r="E111" s="306" t="s">
        <v>449</v>
      </c>
      <c r="F111" s="308">
        <v>16</v>
      </c>
      <c r="G111" s="304">
        <v>15000</v>
      </c>
      <c r="H111" s="307">
        <v>365</v>
      </c>
      <c r="I111" s="302">
        <f t="shared" si="3"/>
        <v>8.7599999999999997E-2</v>
      </c>
      <c r="J111" s="436"/>
    </row>
    <row r="112" spans="1:10" s="10" customFormat="1" ht="15" customHeight="1">
      <c r="A112" s="437">
        <v>37</v>
      </c>
      <c r="B112" s="440" t="s">
        <v>35</v>
      </c>
      <c r="C112" s="440" t="s">
        <v>68</v>
      </c>
      <c r="D112" s="440" t="s">
        <v>69</v>
      </c>
      <c r="E112" s="298" t="s">
        <v>451</v>
      </c>
      <c r="F112" s="308">
        <v>1</v>
      </c>
      <c r="G112" s="300">
        <v>150000</v>
      </c>
      <c r="H112" s="301">
        <v>365</v>
      </c>
      <c r="I112" s="302">
        <f t="shared" si="3"/>
        <v>5.475E-2</v>
      </c>
      <c r="J112" s="434">
        <f>SUM(I112:I114)</f>
        <v>5.475E-2</v>
      </c>
    </row>
    <row r="113" spans="1:10" s="10" customFormat="1" ht="15" customHeight="1">
      <c r="A113" s="438"/>
      <c r="B113" s="441"/>
      <c r="C113" s="441"/>
      <c r="D113" s="441"/>
      <c r="E113" s="303" t="s">
        <v>450</v>
      </c>
      <c r="F113" s="308">
        <v>0</v>
      </c>
      <c r="G113" s="304">
        <v>60000</v>
      </c>
      <c r="H113" s="305">
        <v>365</v>
      </c>
      <c r="I113" s="302">
        <f t="shared" si="3"/>
        <v>0</v>
      </c>
      <c r="J113" s="435"/>
    </row>
    <row r="114" spans="1:10" s="10" customFormat="1" ht="15" customHeight="1">
      <c r="A114" s="439"/>
      <c r="B114" s="442"/>
      <c r="C114" s="442"/>
      <c r="D114" s="442"/>
      <c r="E114" s="306" t="s">
        <v>449</v>
      </c>
      <c r="F114" s="308">
        <v>0</v>
      </c>
      <c r="G114" s="304">
        <v>15000</v>
      </c>
      <c r="H114" s="307">
        <v>365</v>
      </c>
      <c r="I114" s="302">
        <f t="shared" si="3"/>
        <v>0</v>
      </c>
      <c r="J114" s="436"/>
    </row>
    <row r="115" spans="1:10" s="10" customFormat="1" ht="15" customHeight="1">
      <c r="A115" s="437">
        <v>38</v>
      </c>
      <c r="B115" s="440" t="s">
        <v>36</v>
      </c>
      <c r="C115" s="440" t="s">
        <v>68</v>
      </c>
      <c r="D115" s="440" t="s">
        <v>69</v>
      </c>
      <c r="E115" s="298" t="s">
        <v>451</v>
      </c>
      <c r="F115" s="308">
        <v>1</v>
      </c>
      <c r="G115" s="300">
        <v>150000</v>
      </c>
      <c r="H115" s="301">
        <v>365</v>
      </c>
      <c r="I115" s="302">
        <f t="shared" si="3"/>
        <v>5.475E-2</v>
      </c>
      <c r="J115" s="434">
        <f>SUM(I115:I117)</f>
        <v>8.212499999999999E-2</v>
      </c>
    </row>
    <row r="116" spans="1:10" s="10" customFormat="1" ht="15" customHeight="1">
      <c r="A116" s="438"/>
      <c r="B116" s="441"/>
      <c r="C116" s="441"/>
      <c r="D116" s="441"/>
      <c r="E116" s="303" t="s">
        <v>450</v>
      </c>
      <c r="F116" s="308">
        <v>1</v>
      </c>
      <c r="G116" s="304">
        <v>60000</v>
      </c>
      <c r="H116" s="305">
        <v>365</v>
      </c>
      <c r="I116" s="302">
        <f t="shared" si="3"/>
        <v>2.1899999999999999E-2</v>
      </c>
      <c r="J116" s="435"/>
    </row>
    <row r="117" spans="1:10" s="10" customFormat="1" ht="15" customHeight="1">
      <c r="A117" s="439"/>
      <c r="B117" s="442"/>
      <c r="C117" s="442"/>
      <c r="D117" s="442"/>
      <c r="E117" s="306" t="s">
        <v>449</v>
      </c>
      <c r="F117" s="308">
        <v>1</v>
      </c>
      <c r="G117" s="304">
        <v>15000</v>
      </c>
      <c r="H117" s="307">
        <v>365</v>
      </c>
      <c r="I117" s="302">
        <f t="shared" si="3"/>
        <v>5.4749999999999998E-3</v>
      </c>
      <c r="J117" s="436"/>
    </row>
    <row r="118" spans="1:10" s="10" customFormat="1" ht="15" customHeight="1">
      <c r="A118" s="437">
        <v>39</v>
      </c>
      <c r="B118" s="440" t="s">
        <v>37</v>
      </c>
      <c r="C118" s="440" t="s">
        <v>68</v>
      </c>
      <c r="D118" s="440" t="s">
        <v>69</v>
      </c>
      <c r="E118" s="298" t="s">
        <v>451</v>
      </c>
      <c r="F118" s="308">
        <v>1</v>
      </c>
      <c r="G118" s="300">
        <v>150000</v>
      </c>
      <c r="H118" s="301">
        <v>365</v>
      </c>
      <c r="I118" s="302">
        <f t="shared" si="3"/>
        <v>5.475E-2</v>
      </c>
      <c r="J118" s="434">
        <f>SUM(I118:I120)</f>
        <v>9.3074999999999991E-2</v>
      </c>
    </row>
    <row r="119" spans="1:10" s="10" customFormat="1" ht="15" customHeight="1">
      <c r="A119" s="438"/>
      <c r="B119" s="441"/>
      <c r="C119" s="441"/>
      <c r="D119" s="441"/>
      <c r="E119" s="303" t="s">
        <v>450</v>
      </c>
      <c r="F119" s="308">
        <v>0</v>
      </c>
      <c r="G119" s="304">
        <v>60000</v>
      </c>
      <c r="H119" s="305">
        <v>365</v>
      </c>
      <c r="I119" s="302">
        <f t="shared" si="3"/>
        <v>0</v>
      </c>
      <c r="J119" s="435"/>
    </row>
    <row r="120" spans="1:10" s="10" customFormat="1" ht="15" customHeight="1">
      <c r="A120" s="439"/>
      <c r="B120" s="442"/>
      <c r="C120" s="442"/>
      <c r="D120" s="442"/>
      <c r="E120" s="306" t="s">
        <v>449</v>
      </c>
      <c r="F120" s="308">
        <v>7</v>
      </c>
      <c r="G120" s="304">
        <v>15000</v>
      </c>
      <c r="H120" s="307">
        <v>365</v>
      </c>
      <c r="I120" s="302">
        <f t="shared" si="3"/>
        <v>3.8324999999999998E-2</v>
      </c>
      <c r="J120" s="436"/>
    </row>
    <row r="121" spans="1:10" s="10" customFormat="1" ht="15" customHeight="1">
      <c r="A121" s="437">
        <v>40</v>
      </c>
      <c r="B121" s="440" t="s">
        <v>80</v>
      </c>
      <c r="C121" s="440" t="s">
        <v>68</v>
      </c>
      <c r="D121" s="440" t="s">
        <v>69</v>
      </c>
      <c r="E121" s="298" t="s">
        <v>451</v>
      </c>
      <c r="F121" s="308">
        <v>0</v>
      </c>
      <c r="G121" s="300">
        <v>150000</v>
      </c>
      <c r="H121" s="301">
        <v>365</v>
      </c>
      <c r="I121" s="302">
        <f t="shared" si="3"/>
        <v>0</v>
      </c>
      <c r="J121" s="434">
        <f>SUM(I121:I123)</f>
        <v>1.095E-2</v>
      </c>
    </row>
    <row r="122" spans="1:10" s="10" customFormat="1" ht="15" customHeight="1">
      <c r="A122" s="438"/>
      <c r="B122" s="441"/>
      <c r="C122" s="441"/>
      <c r="D122" s="441"/>
      <c r="E122" s="303" t="s">
        <v>450</v>
      </c>
      <c r="F122" s="308">
        <v>0</v>
      </c>
      <c r="G122" s="304">
        <v>60000</v>
      </c>
      <c r="H122" s="305">
        <v>365</v>
      </c>
      <c r="I122" s="302">
        <f t="shared" si="3"/>
        <v>0</v>
      </c>
      <c r="J122" s="435"/>
    </row>
    <row r="123" spans="1:10" s="10" customFormat="1" ht="15" customHeight="1">
      <c r="A123" s="439"/>
      <c r="B123" s="442"/>
      <c r="C123" s="442"/>
      <c r="D123" s="442"/>
      <c r="E123" s="306" t="s">
        <v>449</v>
      </c>
      <c r="F123" s="308">
        <v>2</v>
      </c>
      <c r="G123" s="304">
        <v>15000</v>
      </c>
      <c r="H123" s="307">
        <v>365</v>
      </c>
      <c r="I123" s="302">
        <f t="shared" si="3"/>
        <v>1.095E-2</v>
      </c>
      <c r="J123" s="436"/>
    </row>
    <row r="124" spans="1:10" s="10" customFormat="1" ht="15" customHeight="1">
      <c r="A124" s="437">
        <v>41</v>
      </c>
      <c r="B124" s="440" t="s">
        <v>39</v>
      </c>
      <c r="C124" s="440" t="s">
        <v>68</v>
      </c>
      <c r="D124" s="440" t="s">
        <v>69</v>
      </c>
      <c r="E124" s="298" t="s">
        <v>451</v>
      </c>
      <c r="F124" s="308">
        <v>3</v>
      </c>
      <c r="G124" s="300">
        <v>150000</v>
      </c>
      <c r="H124" s="301">
        <v>365</v>
      </c>
      <c r="I124" s="302">
        <f t="shared" si="3"/>
        <v>0.16425000000000001</v>
      </c>
      <c r="J124" s="434">
        <f>SUM(I124:I126)</f>
        <v>0.16972500000000001</v>
      </c>
    </row>
    <row r="125" spans="1:10" s="10" customFormat="1" ht="15" customHeight="1">
      <c r="A125" s="438"/>
      <c r="B125" s="441"/>
      <c r="C125" s="441"/>
      <c r="D125" s="441"/>
      <c r="E125" s="303" t="s">
        <v>450</v>
      </c>
      <c r="F125" s="308">
        <v>0</v>
      </c>
      <c r="G125" s="304">
        <v>60000</v>
      </c>
      <c r="H125" s="305">
        <v>365</v>
      </c>
      <c r="I125" s="302">
        <f t="shared" si="3"/>
        <v>0</v>
      </c>
      <c r="J125" s="435"/>
    </row>
    <row r="126" spans="1:10" s="10" customFormat="1" ht="15" customHeight="1">
      <c r="A126" s="439"/>
      <c r="B126" s="442"/>
      <c r="C126" s="442"/>
      <c r="D126" s="442"/>
      <c r="E126" s="306" t="s">
        <v>449</v>
      </c>
      <c r="F126" s="308">
        <v>1</v>
      </c>
      <c r="G126" s="304">
        <v>15000</v>
      </c>
      <c r="H126" s="307">
        <v>365</v>
      </c>
      <c r="I126" s="302">
        <f t="shared" si="3"/>
        <v>5.4749999999999998E-3</v>
      </c>
      <c r="J126" s="436"/>
    </row>
    <row r="127" spans="1:10" s="10" customFormat="1" ht="15" customHeight="1">
      <c r="A127" s="437">
        <v>42</v>
      </c>
      <c r="B127" s="440" t="s">
        <v>40</v>
      </c>
      <c r="C127" s="440" t="s">
        <v>68</v>
      </c>
      <c r="D127" s="440" t="s">
        <v>69</v>
      </c>
      <c r="E127" s="298" t="s">
        <v>451</v>
      </c>
      <c r="F127" s="308">
        <v>0</v>
      </c>
      <c r="G127" s="300">
        <v>150000</v>
      </c>
      <c r="H127" s="301">
        <v>365</v>
      </c>
      <c r="I127" s="302">
        <f t="shared" si="3"/>
        <v>0</v>
      </c>
      <c r="J127" s="434">
        <f>SUM(I127:I129)</f>
        <v>3.8324999999999998E-2</v>
      </c>
    </row>
    <row r="128" spans="1:10" s="10" customFormat="1" ht="15" customHeight="1">
      <c r="A128" s="438"/>
      <c r="B128" s="441"/>
      <c r="C128" s="441"/>
      <c r="D128" s="441"/>
      <c r="E128" s="303" t="s">
        <v>450</v>
      </c>
      <c r="F128" s="308">
        <v>1</v>
      </c>
      <c r="G128" s="304">
        <v>60000</v>
      </c>
      <c r="H128" s="305">
        <v>365</v>
      </c>
      <c r="I128" s="302">
        <f t="shared" si="3"/>
        <v>2.1899999999999999E-2</v>
      </c>
      <c r="J128" s="435"/>
    </row>
    <row r="129" spans="1:11" s="10" customFormat="1" ht="15" customHeight="1">
      <c r="A129" s="439"/>
      <c r="B129" s="442"/>
      <c r="C129" s="442"/>
      <c r="D129" s="442"/>
      <c r="E129" s="306" t="s">
        <v>449</v>
      </c>
      <c r="F129" s="308">
        <v>3</v>
      </c>
      <c r="G129" s="304">
        <v>15000</v>
      </c>
      <c r="H129" s="307">
        <v>365</v>
      </c>
      <c r="I129" s="302">
        <f t="shared" si="3"/>
        <v>1.6424999999999999E-2</v>
      </c>
      <c r="J129" s="436"/>
    </row>
    <row r="130" spans="1:11" s="10" customFormat="1" ht="15" customHeight="1">
      <c r="A130" s="437">
        <v>43</v>
      </c>
      <c r="B130" s="440" t="s">
        <v>41</v>
      </c>
      <c r="C130" s="440" t="s">
        <v>68</v>
      </c>
      <c r="D130" s="440" t="s">
        <v>69</v>
      </c>
      <c r="E130" s="298" t="s">
        <v>451</v>
      </c>
      <c r="F130" s="308">
        <v>3</v>
      </c>
      <c r="G130" s="300">
        <v>150000</v>
      </c>
      <c r="H130" s="301">
        <v>365</v>
      </c>
      <c r="I130" s="302">
        <f t="shared" si="3"/>
        <v>0.16425000000000001</v>
      </c>
      <c r="J130" s="434">
        <f>SUM(I130:I132)</f>
        <v>0.16425000000000001</v>
      </c>
    </row>
    <row r="131" spans="1:11" s="10" customFormat="1" ht="15" customHeight="1">
      <c r="A131" s="438"/>
      <c r="B131" s="441"/>
      <c r="C131" s="441"/>
      <c r="D131" s="441"/>
      <c r="E131" s="303" t="s">
        <v>450</v>
      </c>
      <c r="F131" s="308">
        <v>0</v>
      </c>
      <c r="G131" s="304">
        <v>60000</v>
      </c>
      <c r="H131" s="305">
        <v>365</v>
      </c>
      <c r="I131" s="302">
        <f t="shared" si="3"/>
        <v>0</v>
      </c>
      <c r="J131" s="435"/>
    </row>
    <row r="132" spans="1:11" s="10" customFormat="1" ht="15" customHeight="1">
      <c r="A132" s="439"/>
      <c r="B132" s="442"/>
      <c r="C132" s="442"/>
      <c r="D132" s="442"/>
      <c r="E132" s="306" t="s">
        <v>449</v>
      </c>
      <c r="F132" s="308">
        <v>0</v>
      </c>
      <c r="G132" s="304">
        <v>15000</v>
      </c>
      <c r="H132" s="307">
        <v>365</v>
      </c>
      <c r="I132" s="302">
        <f>F132*G132*H132/1000000000</f>
        <v>0</v>
      </c>
      <c r="J132" s="436"/>
    </row>
    <row r="133" spans="1:11" s="10" customFormat="1" ht="15" customHeight="1">
      <c r="A133" s="437">
        <v>44</v>
      </c>
      <c r="B133" s="440" t="s">
        <v>42</v>
      </c>
      <c r="C133" s="440" t="s">
        <v>68</v>
      </c>
      <c r="D133" s="440" t="s">
        <v>69</v>
      </c>
      <c r="E133" s="298" t="s">
        <v>451</v>
      </c>
      <c r="F133" s="308">
        <v>3</v>
      </c>
      <c r="G133" s="300">
        <v>150000</v>
      </c>
      <c r="H133" s="301">
        <v>365</v>
      </c>
      <c r="I133" s="302">
        <f>F133*G133*H133/1000000000</f>
        <v>0.16425000000000001</v>
      </c>
      <c r="J133" s="434">
        <f>SUM(I133:I135)</f>
        <v>0.18615000000000001</v>
      </c>
    </row>
    <row r="134" spans="1:11" s="10" customFormat="1" ht="15" customHeight="1">
      <c r="A134" s="438"/>
      <c r="B134" s="441"/>
      <c r="C134" s="441"/>
      <c r="D134" s="441"/>
      <c r="E134" s="303" t="s">
        <v>450</v>
      </c>
      <c r="F134" s="308">
        <v>0</v>
      </c>
      <c r="G134" s="304">
        <v>60000</v>
      </c>
      <c r="H134" s="305">
        <v>365</v>
      </c>
      <c r="I134" s="302">
        <f>F134*G134*H134/1000000000</f>
        <v>0</v>
      </c>
      <c r="J134" s="435"/>
    </row>
    <row r="135" spans="1:11" s="10" customFormat="1" ht="15" customHeight="1">
      <c r="A135" s="439"/>
      <c r="B135" s="442"/>
      <c r="C135" s="442"/>
      <c r="D135" s="442"/>
      <c r="E135" s="306" t="s">
        <v>449</v>
      </c>
      <c r="F135" s="308">
        <v>4</v>
      </c>
      <c r="G135" s="304">
        <v>15000</v>
      </c>
      <c r="H135" s="307">
        <v>365</v>
      </c>
      <c r="I135" s="302">
        <f>F135*G135*H135/1000000000</f>
        <v>2.1899999999999999E-2</v>
      </c>
      <c r="J135" s="436"/>
    </row>
    <row r="136" spans="1:11">
      <c r="F136" s="4">
        <f>SUM(F4:F135)</f>
        <v>396</v>
      </c>
      <c r="J136" s="4">
        <f>SUM(J4:J135)</f>
        <v>6.3564750000000005</v>
      </c>
      <c r="K136" s="11"/>
    </row>
    <row r="137" spans="1:11" ht="29.25" customHeight="1">
      <c r="A137" s="433" t="s">
        <v>116</v>
      </c>
      <c r="B137" s="433"/>
      <c r="C137" s="433"/>
      <c r="D137" s="433"/>
      <c r="E137" s="433"/>
      <c r="F137" s="433"/>
      <c r="G137" s="433"/>
      <c r="H137" s="433"/>
      <c r="I137" s="433"/>
      <c r="J137" s="433"/>
      <c r="K137" s="295"/>
    </row>
    <row r="138" spans="1:11">
      <c r="K138" s="11"/>
    </row>
    <row r="139" spans="1:11">
      <c r="K139" s="11"/>
    </row>
    <row r="140" spans="1:11">
      <c r="K140" s="11"/>
    </row>
    <row r="141" spans="1:11">
      <c r="K141" s="11"/>
    </row>
    <row r="142" spans="1:11">
      <c r="K142" s="11"/>
    </row>
    <row r="143" spans="1:11">
      <c r="K143" s="11"/>
    </row>
    <row r="144" spans="1:11">
      <c r="K144" s="11"/>
    </row>
  </sheetData>
  <autoFilter ref="A3:L137"/>
  <mergeCells count="223">
    <mergeCell ref="J7:J9"/>
    <mergeCell ref="J10:J12"/>
    <mergeCell ref="C13:C15"/>
    <mergeCell ref="A1:B1"/>
    <mergeCell ref="C1:J1"/>
    <mergeCell ref="A4:A6"/>
    <mergeCell ref="B4:B6"/>
    <mergeCell ref="C4:C6"/>
    <mergeCell ref="D4:D6"/>
    <mergeCell ref="J4:J6"/>
    <mergeCell ref="A7:A9"/>
    <mergeCell ref="B7:B9"/>
    <mergeCell ref="C7:C9"/>
    <mergeCell ref="D7:D9"/>
    <mergeCell ref="C10:C12"/>
    <mergeCell ref="D10:D12"/>
    <mergeCell ref="A10:A12"/>
    <mergeCell ref="B10:B12"/>
    <mergeCell ref="D13:D15"/>
    <mergeCell ref="C16:C18"/>
    <mergeCell ref="D16:D18"/>
    <mergeCell ref="J13:J15"/>
    <mergeCell ref="J16:J18"/>
    <mergeCell ref="A19:A21"/>
    <mergeCell ref="B19:B21"/>
    <mergeCell ref="A13:A15"/>
    <mergeCell ref="B13:B15"/>
    <mergeCell ref="A16:A18"/>
    <mergeCell ref="A137:J137"/>
    <mergeCell ref="A118:A120"/>
    <mergeCell ref="B118:B120"/>
    <mergeCell ref="J133:J135"/>
    <mergeCell ref="C19:C21"/>
    <mergeCell ref="D19:D21"/>
    <mergeCell ref="J19:J21"/>
    <mergeCell ref="B22:B24"/>
    <mergeCell ref="C22:C24"/>
    <mergeCell ref="J22:J24"/>
    <mergeCell ref="B16:B18"/>
    <mergeCell ref="D22:D24"/>
    <mergeCell ref="A25:A27"/>
    <mergeCell ref="B25:B27"/>
    <mergeCell ref="C25:C27"/>
    <mergeCell ref="D25:D27"/>
    <mergeCell ref="A28:A30"/>
    <mergeCell ref="B28:B30"/>
    <mergeCell ref="C28:C30"/>
    <mergeCell ref="D28:D30"/>
    <mergeCell ref="A22:A24"/>
    <mergeCell ref="A31:A33"/>
    <mergeCell ref="B31:B33"/>
    <mergeCell ref="C31:C33"/>
    <mergeCell ref="D31:D33"/>
    <mergeCell ref="A34:A36"/>
    <mergeCell ref="B34:B36"/>
    <mergeCell ref="C34:C36"/>
    <mergeCell ref="D34:D36"/>
    <mergeCell ref="A37:A39"/>
    <mergeCell ref="B37:B39"/>
    <mergeCell ref="C37:C39"/>
    <mergeCell ref="D37:D39"/>
    <mergeCell ref="A40:A42"/>
    <mergeCell ref="B40:B42"/>
    <mergeCell ref="C40:C42"/>
    <mergeCell ref="D40:D42"/>
    <mergeCell ref="A43:A45"/>
    <mergeCell ref="B43:B45"/>
    <mergeCell ref="C43:C45"/>
    <mergeCell ref="D43:D45"/>
    <mergeCell ref="A46:A48"/>
    <mergeCell ref="B46:B48"/>
    <mergeCell ref="C46:C48"/>
    <mergeCell ref="D46:D48"/>
    <mergeCell ref="A49:A51"/>
    <mergeCell ref="B49:B51"/>
    <mergeCell ref="C49:C51"/>
    <mergeCell ref="D49:D51"/>
    <mergeCell ref="A52:A54"/>
    <mergeCell ref="B52:B54"/>
    <mergeCell ref="C52:C54"/>
    <mergeCell ref="D52:D54"/>
    <mergeCell ref="A58:A60"/>
    <mergeCell ref="B58:B60"/>
    <mergeCell ref="C58:C60"/>
    <mergeCell ref="D58:D60"/>
    <mergeCell ref="A55:A57"/>
    <mergeCell ref="B55:B57"/>
    <mergeCell ref="C70:C72"/>
    <mergeCell ref="D70:D72"/>
    <mergeCell ref="A61:A63"/>
    <mergeCell ref="B61:B63"/>
    <mergeCell ref="C61:C63"/>
    <mergeCell ref="D61:D63"/>
    <mergeCell ref="A64:A66"/>
    <mergeCell ref="B64:B66"/>
    <mergeCell ref="C64:C66"/>
    <mergeCell ref="D64:D66"/>
    <mergeCell ref="C55:C57"/>
    <mergeCell ref="D55:D57"/>
    <mergeCell ref="A67:A69"/>
    <mergeCell ref="B67:B69"/>
    <mergeCell ref="C67:C69"/>
    <mergeCell ref="D67:D69"/>
    <mergeCell ref="A76:A78"/>
    <mergeCell ref="B76:B78"/>
    <mergeCell ref="C76:C78"/>
    <mergeCell ref="D76:D78"/>
    <mergeCell ref="A70:A72"/>
    <mergeCell ref="B70:B72"/>
    <mergeCell ref="A73:A75"/>
    <mergeCell ref="B73:B75"/>
    <mergeCell ref="C73:C75"/>
    <mergeCell ref="D73:D75"/>
    <mergeCell ref="A79:A81"/>
    <mergeCell ref="B79:B81"/>
    <mergeCell ref="C79:C81"/>
    <mergeCell ref="D79:D81"/>
    <mergeCell ref="A82:A84"/>
    <mergeCell ref="B82:B84"/>
    <mergeCell ref="C82:C84"/>
    <mergeCell ref="D82:D84"/>
    <mergeCell ref="A85:A87"/>
    <mergeCell ref="B85:B87"/>
    <mergeCell ref="C85:C87"/>
    <mergeCell ref="D85:D87"/>
    <mergeCell ref="A88:A90"/>
    <mergeCell ref="B88:B90"/>
    <mergeCell ref="C88:C90"/>
    <mergeCell ref="D88:D90"/>
    <mergeCell ref="A91:A93"/>
    <mergeCell ref="B91:B93"/>
    <mergeCell ref="C91:C93"/>
    <mergeCell ref="D91:D93"/>
    <mergeCell ref="A94:A96"/>
    <mergeCell ref="B94:B96"/>
    <mergeCell ref="C94:C96"/>
    <mergeCell ref="D94:D96"/>
    <mergeCell ref="A97:A99"/>
    <mergeCell ref="B97:B99"/>
    <mergeCell ref="C97:C99"/>
    <mergeCell ref="D97:D99"/>
    <mergeCell ref="A100:A102"/>
    <mergeCell ref="B100:B102"/>
    <mergeCell ref="C100:C102"/>
    <mergeCell ref="D100:D102"/>
    <mergeCell ref="A103:A105"/>
    <mergeCell ref="B103:B105"/>
    <mergeCell ref="C103:C105"/>
    <mergeCell ref="D103:D105"/>
    <mergeCell ref="A106:A108"/>
    <mergeCell ref="B106:B108"/>
    <mergeCell ref="C106:C108"/>
    <mergeCell ref="D106:D108"/>
    <mergeCell ref="A109:A111"/>
    <mergeCell ref="B109:B111"/>
    <mergeCell ref="C109:C111"/>
    <mergeCell ref="D109:D111"/>
    <mergeCell ref="A112:A114"/>
    <mergeCell ref="B112:B114"/>
    <mergeCell ref="C112:C114"/>
    <mergeCell ref="D112:D114"/>
    <mergeCell ref="A115:A117"/>
    <mergeCell ref="B115:B117"/>
    <mergeCell ref="C115:C117"/>
    <mergeCell ref="D115:D117"/>
    <mergeCell ref="C118:C120"/>
    <mergeCell ref="D118:D120"/>
    <mergeCell ref="A121:A123"/>
    <mergeCell ref="B121:B123"/>
    <mergeCell ref="C121:C123"/>
    <mergeCell ref="D121:D123"/>
    <mergeCell ref="A124:A126"/>
    <mergeCell ref="B124:B126"/>
    <mergeCell ref="C124:C126"/>
    <mergeCell ref="D124:D126"/>
    <mergeCell ref="A127:A129"/>
    <mergeCell ref="B127:B129"/>
    <mergeCell ref="C127:C129"/>
    <mergeCell ref="D127:D129"/>
    <mergeCell ref="A130:A132"/>
    <mergeCell ref="B130:B132"/>
    <mergeCell ref="C130:C132"/>
    <mergeCell ref="D130:D132"/>
    <mergeCell ref="A133:A135"/>
    <mergeCell ref="B133:B135"/>
    <mergeCell ref="C133:C135"/>
    <mergeCell ref="D133:D135"/>
    <mergeCell ref="J25:J27"/>
    <mergeCell ref="J28:J30"/>
    <mergeCell ref="J31:J33"/>
    <mergeCell ref="J34:J36"/>
    <mergeCell ref="J37:J39"/>
    <mergeCell ref="J40:J42"/>
    <mergeCell ref="J43:J45"/>
    <mergeCell ref="J46:J48"/>
    <mergeCell ref="J49:J51"/>
    <mergeCell ref="J52:J54"/>
    <mergeCell ref="J58:J60"/>
    <mergeCell ref="J61:J63"/>
    <mergeCell ref="J64:J66"/>
    <mergeCell ref="J67:J69"/>
    <mergeCell ref="J70:J72"/>
    <mergeCell ref="J73:J75"/>
    <mergeCell ref="J55:J57"/>
    <mergeCell ref="J76:J78"/>
    <mergeCell ref="J79:J81"/>
    <mergeCell ref="J82:J84"/>
    <mergeCell ref="J85:J87"/>
    <mergeCell ref="J88:J90"/>
    <mergeCell ref="J91:J93"/>
    <mergeCell ref="J94:J96"/>
    <mergeCell ref="J97:J99"/>
    <mergeCell ref="J100:J102"/>
    <mergeCell ref="J103:J105"/>
    <mergeCell ref="J106:J108"/>
    <mergeCell ref="J109:J111"/>
    <mergeCell ref="J112:J114"/>
    <mergeCell ref="J115:J117"/>
    <mergeCell ref="J118:J120"/>
    <mergeCell ref="J121:J123"/>
    <mergeCell ref="J124:J126"/>
    <mergeCell ref="J127:J129"/>
    <mergeCell ref="J130:J132"/>
  </mergeCells>
  <printOptions horizontalCentered="1"/>
  <pageMargins left="0.25" right="0.25" top="1.25" bottom="0.25" header="0.41944444444444445" footer="0.5"/>
  <pageSetup paperSize="9" orientation="landscape" horizontalDpi="180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view="pageBreakPreview" zoomScale="60" zoomScaleNormal="100" workbookViewId="0">
      <selection activeCell="I5" sqref="I5"/>
    </sheetView>
  </sheetViews>
  <sheetFormatPr defaultRowHeight="12.75"/>
  <cols>
    <col min="1" max="1" width="6.7109375" style="4" customWidth="1"/>
    <col min="2" max="2" width="16.85546875" style="4" customWidth="1"/>
    <col min="3" max="3" width="10" style="4" customWidth="1"/>
    <col min="4" max="4" width="16" style="4" customWidth="1"/>
    <col min="5" max="5" width="17.7109375" style="4" bestFit="1" customWidth="1"/>
    <col min="6" max="6" width="10.5703125" style="4" bestFit="1" customWidth="1"/>
    <col min="7" max="8" width="13.85546875" style="4" customWidth="1"/>
    <col min="9" max="9" width="14.28515625" style="4" customWidth="1"/>
    <col min="10" max="10" width="14.85546875" style="4" customWidth="1"/>
    <col min="11" max="15" width="9.140625" style="4"/>
    <col min="16" max="16" width="8.7109375" style="4" customWidth="1"/>
    <col min="17" max="16384" width="9.140625" style="4"/>
  </cols>
  <sheetData>
    <row r="1" spans="1:10" s="12" customFormat="1" ht="46.5" customHeight="1">
      <c r="A1" s="448" t="s">
        <v>96</v>
      </c>
      <c r="B1" s="448"/>
      <c r="C1" s="444" t="s">
        <v>114</v>
      </c>
      <c r="D1" s="444"/>
      <c r="E1" s="444"/>
      <c r="F1" s="444"/>
      <c r="G1" s="444"/>
      <c r="H1" s="444"/>
      <c r="I1" s="444"/>
      <c r="J1" s="444"/>
    </row>
    <row r="2" spans="1:10" s="12" customFormat="1" ht="41.25" customHeight="1">
      <c r="A2" s="30" t="s">
        <v>56</v>
      </c>
      <c r="B2" s="6" t="s">
        <v>57</v>
      </c>
      <c r="C2" s="31" t="s">
        <v>88</v>
      </c>
      <c r="D2" s="30" t="s">
        <v>59</v>
      </c>
      <c r="E2" s="6"/>
      <c r="F2" s="184" t="s">
        <v>558</v>
      </c>
      <c r="G2" s="6" t="s">
        <v>97</v>
      </c>
      <c r="H2" s="17" t="s">
        <v>98</v>
      </c>
      <c r="I2" s="6" t="s">
        <v>99</v>
      </c>
      <c r="J2" s="31" t="s">
        <v>100</v>
      </c>
    </row>
    <row r="3" spans="1:10">
      <c r="A3" s="32">
        <v>1</v>
      </c>
      <c r="B3" s="8">
        <v>2</v>
      </c>
      <c r="C3" s="33">
        <v>3</v>
      </c>
      <c r="D3" s="32">
        <v>4</v>
      </c>
      <c r="E3" s="8">
        <v>5</v>
      </c>
      <c r="F3" s="15">
        <v>6</v>
      </c>
      <c r="G3" s="71">
        <v>7</v>
      </c>
      <c r="H3" s="13">
        <v>8</v>
      </c>
      <c r="I3" s="71">
        <v>9</v>
      </c>
      <c r="J3" s="72">
        <v>10</v>
      </c>
    </row>
    <row r="4" spans="1:10" s="10" customFormat="1" ht="16.5" customHeight="1">
      <c r="A4" s="437">
        <v>1</v>
      </c>
      <c r="B4" s="440" t="s">
        <v>77</v>
      </c>
      <c r="C4" s="440" t="s">
        <v>68</v>
      </c>
      <c r="D4" s="440" t="s">
        <v>69</v>
      </c>
      <c r="E4" s="298" t="s">
        <v>451</v>
      </c>
      <c r="F4" s="309">
        <v>0</v>
      </c>
      <c r="G4" s="19">
        <v>150</v>
      </c>
      <c r="H4" s="19">
        <v>120</v>
      </c>
      <c r="I4" s="22">
        <f t="shared" ref="I4:I35" si="0">F4*G4*H4/1000000</f>
        <v>0</v>
      </c>
      <c r="J4" s="445">
        <f>I4+I5+I6</f>
        <v>0.59520000000000006</v>
      </c>
    </row>
    <row r="5" spans="1:10" s="10" customFormat="1" ht="16.5" customHeight="1">
      <c r="A5" s="438"/>
      <c r="B5" s="441"/>
      <c r="C5" s="441"/>
      <c r="D5" s="441"/>
      <c r="E5" s="303" t="s">
        <v>450</v>
      </c>
      <c r="F5" s="309">
        <v>1</v>
      </c>
      <c r="G5" s="19">
        <v>150</v>
      </c>
      <c r="H5" s="19">
        <v>120</v>
      </c>
      <c r="I5" s="19">
        <f t="shared" si="0"/>
        <v>1.7999999999999999E-2</v>
      </c>
      <c r="J5" s="446"/>
    </row>
    <row r="6" spans="1:10" s="10" customFormat="1" ht="16.5" customHeight="1">
      <c r="A6" s="438"/>
      <c r="B6" s="441"/>
      <c r="C6" s="441"/>
      <c r="D6" s="441"/>
      <c r="E6" s="306" t="s">
        <v>449</v>
      </c>
      <c r="F6" s="309">
        <v>37</v>
      </c>
      <c r="G6" s="19">
        <v>130</v>
      </c>
      <c r="H6" s="19">
        <v>120</v>
      </c>
      <c r="I6" s="22">
        <f t="shared" si="0"/>
        <v>0.57720000000000005</v>
      </c>
      <c r="J6" s="447"/>
    </row>
    <row r="7" spans="1:10" s="10" customFormat="1" ht="16.5" customHeight="1">
      <c r="A7" s="437">
        <v>2</v>
      </c>
      <c r="B7" s="440" t="s">
        <v>1</v>
      </c>
      <c r="C7" s="440" t="s">
        <v>68</v>
      </c>
      <c r="D7" s="440" t="s">
        <v>69</v>
      </c>
      <c r="E7" s="298" t="s">
        <v>451</v>
      </c>
      <c r="F7" s="308">
        <v>72</v>
      </c>
      <c r="G7" s="19">
        <v>150</v>
      </c>
      <c r="H7" s="19">
        <v>120</v>
      </c>
      <c r="I7" s="22">
        <f t="shared" si="0"/>
        <v>1.296</v>
      </c>
      <c r="J7" s="445">
        <f>I7+I8+I9</f>
        <v>1.518</v>
      </c>
    </row>
    <row r="8" spans="1:10" s="10" customFormat="1" ht="16.5" customHeight="1">
      <c r="A8" s="438"/>
      <c r="B8" s="441"/>
      <c r="C8" s="441"/>
      <c r="D8" s="441"/>
      <c r="E8" s="303" t="s">
        <v>450</v>
      </c>
      <c r="F8" s="308">
        <v>8</v>
      </c>
      <c r="G8" s="19">
        <v>150</v>
      </c>
      <c r="H8" s="19">
        <v>120</v>
      </c>
      <c r="I8" s="22">
        <f t="shared" si="0"/>
        <v>0.14399999999999999</v>
      </c>
      <c r="J8" s="446"/>
    </row>
    <row r="9" spans="1:10" s="10" customFormat="1" ht="16.5" customHeight="1">
      <c r="A9" s="439"/>
      <c r="B9" s="442"/>
      <c r="C9" s="442"/>
      <c r="D9" s="442"/>
      <c r="E9" s="306" t="s">
        <v>449</v>
      </c>
      <c r="F9" s="308">
        <v>5</v>
      </c>
      <c r="G9" s="19">
        <v>130</v>
      </c>
      <c r="H9" s="19">
        <v>120</v>
      </c>
      <c r="I9" s="22">
        <f t="shared" si="0"/>
        <v>7.8E-2</v>
      </c>
      <c r="J9" s="447"/>
    </row>
    <row r="10" spans="1:10" s="10" customFormat="1" ht="16.5" customHeight="1">
      <c r="A10" s="437">
        <v>3</v>
      </c>
      <c r="B10" s="440" t="s">
        <v>2</v>
      </c>
      <c r="C10" s="440" t="s">
        <v>68</v>
      </c>
      <c r="D10" s="440" t="s">
        <v>69</v>
      </c>
      <c r="E10" s="298" t="s">
        <v>451</v>
      </c>
      <c r="F10" s="308">
        <v>81</v>
      </c>
      <c r="G10" s="19">
        <v>150</v>
      </c>
      <c r="H10" s="19">
        <v>120</v>
      </c>
      <c r="I10" s="22">
        <f t="shared" si="0"/>
        <v>1.458</v>
      </c>
      <c r="J10" s="445">
        <f>I10+I11+I12</f>
        <v>1.8972</v>
      </c>
    </row>
    <row r="11" spans="1:10" s="10" customFormat="1" ht="16.5" customHeight="1">
      <c r="A11" s="438"/>
      <c r="B11" s="441"/>
      <c r="C11" s="441"/>
      <c r="D11" s="441"/>
      <c r="E11" s="303" t="s">
        <v>450</v>
      </c>
      <c r="F11" s="308">
        <v>14</v>
      </c>
      <c r="G11" s="19">
        <v>150</v>
      </c>
      <c r="H11" s="19">
        <v>120</v>
      </c>
      <c r="I11" s="22">
        <f t="shared" si="0"/>
        <v>0.252</v>
      </c>
      <c r="J11" s="446"/>
    </row>
    <row r="12" spans="1:10" s="10" customFormat="1" ht="16.5" customHeight="1">
      <c r="A12" s="439"/>
      <c r="B12" s="442"/>
      <c r="C12" s="442"/>
      <c r="D12" s="442"/>
      <c r="E12" s="306" t="s">
        <v>449</v>
      </c>
      <c r="F12" s="308">
        <v>12</v>
      </c>
      <c r="G12" s="19">
        <v>130</v>
      </c>
      <c r="H12" s="19">
        <v>120</v>
      </c>
      <c r="I12" s="22">
        <f t="shared" si="0"/>
        <v>0.18720000000000001</v>
      </c>
      <c r="J12" s="447"/>
    </row>
    <row r="13" spans="1:10" s="10" customFormat="1" ht="16.5" customHeight="1">
      <c r="A13" s="437">
        <v>4</v>
      </c>
      <c r="B13" s="440" t="s">
        <v>3</v>
      </c>
      <c r="C13" s="440" t="s">
        <v>68</v>
      </c>
      <c r="D13" s="440" t="s">
        <v>69</v>
      </c>
      <c r="E13" s="298" t="s">
        <v>451</v>
      </c>
      <c r="F13" s="308">
        <v>2</v>
      </c>
      <c r="G13" s="19">
        <v>150</v>
      </c>
      <c r="H13" s="19">
        <v>120</v>
      </c>
      <c r="I13" s="22">
        <f t="shared" si="0"/>
        <v>3.5999999999999997E-2</v>
      </c>
      <c r="J13" s="445">
        <f>I13+I14+I15</f>
        <v>2.5367999999999999</v>
      </c>
    </row>
    <row r="14" spans="1:10" s="10" customFormat="1" ht="16.5" customHeight="1">
      <c r="A14" s="438"/>
      <c r="B14" s="441"/>
      <c r="C14" s="441"/>
      <c r="D14" s="441"/>
      <c r="E14" s="303" t="s">
        <v>450</v>
      </c>
      <c r="F14" s="308">
        <v>2</v>
      </c>
      <c r="G14" s="19">
        <v>150</v>
      </c>
      <c r="H14" s="19">
        <v>120</v>
      </c>
      <c r="I14" s="22">
        <f t="shared" si="0"/>
        <v>3.5999999999999997E-2</v>
      </c>
      <c r="J14" s="446"/>
    </row>
    <row r="15" spans="1:10" s="10" customFormat="1" ht="16.5" customHeight="1">
      <c r="A15" s="439"/>
      <c r="B15" s="442"/>
      <c r="C15" s="442"/>
      <c r="D15" s="442"/>
      <c r="E15" s="306" t="s">
        <v>449</v>
      </c>
      <c r="F15" s="308">
        <v>158</v>
      </c>
      <c r="G15" s="19">
        <v>130</v>
      </c>
      <c r="H15" s="19">
        <v>120</v>
      </c>
      <c r="I15" s="22">
        <f t="shared" si="0"/>
        <v>2.4647999999999999</v>
      </c>
      <c r="J15" s="447"/>
    </row>
    <row r="16" spans="1:10" s="9" customFormat="1" ht="16.5" customHeight="1">
      <c r="A16" s="437">
        <v>5</v>
      </c>
      <c r="B16" s="440" t="s">
        <v>4</v>
      </c>
      <c r="C16" s="440" t="s">
        <v>68</v>
      </c>
      <c r="D16" s="440" t="s">
        <v>69</v>
      </c>
      <c r="E16" s="298" t="s">
        <v>451</v>
      </c>
      <c r="F16" s="308">
        <v>42</v>
      </c>
      <c r="G16" s="19">
        <v>150</v>
      </c>
      <c r="H16" s="19">
        <v>120</v>
      </c>
      <c r="I16" s="22">
        <f t="shared" si="0"/>
        <v>0.75600000000000001</v>
      </c>
      <c r="J16" s="445">
        <f>I16+I17+I18</f>
        <v>2.2067999999999999</v>
      </c>
    </row>
    <row r="17" spans="1:10" s="9" customFormat="1" ht="16.5" customHeight="1">
      <c r="A17" s="438"/>
      <c r="B17" s="441"/>
      <c r="C17" s="441"/>
      <c r="D17" s="441"/>
      <c r="E17" s="303" t="s">
        <v>450</v>
      </c>
      <c r="F17" s="308">
        <v>26</v>
      </c>
      <c r="G17" s="19">
        <v>150</v>
      </c>
      <c r="H17" s="19">
        <v>120</v>
      </c>
      <c r="I17" s="22">
        <f t="shared" si="0"/>
        <v>0.46800000000000003</v>
      </c>
      <c r="J17" s="446"/>
    </row>
    <row r="18" spans="1:10" s="10" customFormat="1" ht="16.5" customHeight="1">
      <c r="A18" s="439"/>
      <c r="B18" s="442"/>
      <c r="C18" s="442"/>
      <c r="D18" s="442"/>
      <c r="E18" s="306" t="s">
        <v>449</v>
      </c>
      <c r="F18" s="308">
        <v>63</v>
      </c>
      <c r="G18" s="19">
        <v>130</v>
      </c>
      <c r="H18" s="19">
        <v>120</v>
      </c>
      <c r="I18" s="22">
        <f t="shared" si="0"/>
        <v>0.98280000000000001</v>
      </c>
      <c r="J18" s="447"/>
    </row>
    <row r="19" spans="1:10" s="10" customFormat="1" ht="16.5" customHeight="1">
      <c r="A19" s="437">
        <v>6</v>
      </c>
      <c r="B19" s="440" t="s">
        <v>81</v>
      </c>
      <c r="C19" s="440" t="s">
        <v>68</v>
      </c>
      <c r="D19" s="440" t="s">
        <v>69</v>
      </c>
      <c r="E19" s="298" t="s">
        <v>451</v>
      </c>
      <c r="F19" s="308">
        <v>21</v>
      </c>
      <c r="G19" s="19">
        <v>150</v>
      </c>
      <c r="H19" s="19">
        <v>120</v>
      </c>
      <c r="I19" s="22">
        <f t="shared" si="0"/>
        <v>0.378</v>
      </c>
      <c r="J19" s="445">
        <f>I19+I20+I21</f>
        <v>0.57719999999999994</v>
      </c>
    </row>
    <row r="20" spans="1:10" s="10" customFormat="1" ht="16.5" customHeight="1">
      <c r="A20" s="438"/>
      <c r="B20" s="441"/>
      <c r="C20" s="441"/>
      <c r="D20" s="441"/>
      <c r="E20" s="303" t="s">
        <v>450</v>
      </c>
      <c r="F20" s="308">
        <v>5</v>
      </c>
      <c r="G20" s="19">
        <v>150</v>
      </c>
      <c r="H20" s="19">
        <v>120</v>
      </c>
      <c r="I20" s="22">
        <f t="shared" si="0"/>
        <v>0.09</v>
      </c>
      <c r="J20" s="446"/>
    </row>
    <row r="21" spans="1:10" s="10" customFormat="1" ht="16.5" customHeight="1">
      <c r="A21" s="439"/>
      <c r="B21" s="442"/>
      <c r="C21" s="442"/>
      <c r="D21" s="442"/>
      <c r="E21" s="306" t="s">
        <v>449</v>
      </c>
      <c r="F21" s="308">
        <v>7</v>
      </c>
      <c r="G21" s="19">
        <v>130</v>
      </c>
      <c r="H21" s="19">
        <v>120</v>
      </c>
      <c r="I21" s="22">
        <f t="shared" si="0"/>
        <v>0.10920000000000001</v>
      </c>
      <c r="J21" s="447"/>
    </row>
    <row r="22" spans="1:10" s="10" customFormat="1" ht="16.5" customHeight="1">
      <c r="A22" s="437">
        <v>7</v>
      </c>
      <c r="B22" s="440" t="s">
        <v>6</v>
      </c>
      <c r="C22" s="440" t="s">
        <v>68</v>
      </c>
      <c r="D22" s="440" t="s">
        <v>69</v>
      </c>
      <c r="E22" s="298" t="s">
        <v>451</v>
      </c>
      <c r="F22" s="308">
        <v>17</v>
      </c>
      <c r="G22" s="19">
        <v>150</v>
      </c>
      <c r="H22" s="19">
        <v>120</v>
      </c>
      <c r="I22" s="22">
        <f t="shared" si="0"/>
        <v>0.30599999999999999</v>
      </c>
      <c r="J22" s="445">
        <f>I22+I23+I24</f>
        <v>2.262</v>
      </c>
    </row>
    <row r="23" spans="1:10" s="10" customFormat="1" ht="16.5" customHeight="1">
      <c r="A23" s="438"/>
      <c r="B23" s="441"/>
      <c r="C23" s="441"/>
      <c r="D23" s="441"/>
      <c r="E23" s="303" t="s">
        <v>450</v>
      </c>
      <c r="F23" s="308">
        <v>9</v>
      </c>
      <c r="G23" s="19">
        <v>150</v>
      </c>
      <c r="H23" s="19">
        <v>120</v>
      </c>
      <c r="I23" s="22">
        <f t="shared" si="0"/>
        <v>0.16200000000000001</v>
      </c>
      <c r="J23" s="446"/>
    </row>
    <row r="24" spans="1:10" s="10" customFormat="1" ht="16.5" customHeight="1">
      <c r="A24" s="439"/>
      <c r="B24" s="442"/>
      <c r="C24" s="442"/>
      <c r="D24" s="442"/>
      <c r="E24" s="306" t="s">
        <v>449</v>
      </c>
      <c r="F24" s="308">
        <v>115</v>
      </c>
      <c r="G24" s="19">
        <v>130</v>
      </c>
      <c r="H24" s="19">
        <v>120</v>
      </c>
      <c r="I24" s="22">
        <f t="shared" si="0"/>
        <v>1.794</v>
      </c>
      <c r="J24" s="447"/>
    </row>
    <row r="25" spans="1:10" s="10" customFormat="1" ht="16.5" customHeight="1">
      <c r="A25" s="437">
        <v>8</v>
      </c>
      <c r="B25" s="440" t="s">
        <v>78</v>
      </c>
      <c r="C25" s="440" t="s">
        <v>68</v>
      </c>
      <c r="D25" s="440" t="s">
        <v>69</v>
      </c>
      <c r="E25" s="298" t="s">
        <v>451</v>
      </c>
      <c r="F25" s="308">
        <v>122</v>
      </c>
      <c r="G25" s="19">
        <v>150</v>
      </c>
      <c r="H25" s="19">
        <v>120</v>
      </c>
      <c r="I25" s="22">
        <f t="shared" si="0"/>
        <v>2.1960000000000002</v>
      </c>
      <c r="J25" s="445">
        <f>I25+I26+I27</f>
        <v>3.0143999999999997</v>
      </c>
    </row>
    <row r="26" spans="1:10" ht="13.15" customHeight="1">
      <c r="A26" s="438"/>
      <c r="B26" s="441"/>
      <c r="C26" s="441"/>
      <c r="D26" s="441"/>
      <c r="E26" s="303" t="s">
        <v>450</v>
      </c>
      <c r="F26" s="308">
        <v>42</v>
      </c>
      <c r="G26" s="19">
        <v>150</v>
      </c>
      <c r="H26" s="19">
        <v>120</v>
      </c>
      <c r="I26" s="22">
        <f t="shared" si="0"/>
        <v>0.75600000000000001</v>
      </c>
      <c r="J26" s="446"/>
    </row>
    <row r="27" spans="1:10" ht="13.15" customHeight="1">
      <c r="A27" s="439"/>
      <c r="B27" s="442"/>
      <c r="C27" s="442"/>
      <c r="D27" s="442"/>
      <c r="E27" s="306" t="s">
        <v>449</v>
      </c>
      <c r="F27" s="308">
        <v>4</v>
      </c>
      <c r="G27" s="19">
        <v>130</v>
      </c>
      <c r="H27" s="19">
        <v>120</v>
      </c>
      <c r="I27" s="22">
        <f t="shared" si="0"/>
        <v>6.2399999999999997E-2</v>
      </c>
      <c r="J27" s="447"/>
    </row>
    <row r="28" spans="1:10" ht="13.15" customHeight="1">
      <c r="A28" s="437">
        <v>9</v>
      </c>
      <c r="B28" s="440" t="s">
        <v>8</v>
      </c>
      <c r="C28" s="440" t="s">
        <v>68</v>
      </c>
      <c r="D28" s="440" t="s">
        <v>69</v>
      </c>
      <c r="E28" s="298" t="s">
        <v>451</v>
      </c>
      <c r="F28" s="308">
        <v>0</v>
      </c>
      <c r="G28" s="19">
        <v>150</v>
      </c>
      <c r="H28" s="19">
        <v>120</v>
      </c>
      <c r="I28" s="22">
        <f t="shared" si="0"/>
        <v>0</v>
      </c>
      <c r="J28" s="445">
        <f>I28+I29+I30</f>
        <v>0.28559999999999997</v>
      </c>
    </row>
    <row r="29" spans="1:10" ht="13.15" customHeight="1">
      <c r="A29" s="438"/>
      <c r="B29" s="441"/>
      <c r="C29" s="441"/>
      <c r="D29" s="441"/>
      <c r="E29" s="303" t="s">
        <v>450</v>
      </c>
      <c r="F29" s="308">
        <v>2</v>
      </c>
      <c r="G29" s="19">
        <v>150</v>
      </c>
      <c r="H29" s="19">
        <v>120</v>
      </c>
      <c r="I29" s="22">
        <f t="shared" si="0"/>
        <v>3.5999999999999997E-2</v>
      </c>
      <c r="J29" s="446"/>
    </row>
    <row r="30" spans="1:10" ht="13.15" customHeight="1">
      <c r="A30" s="439"/>
      <c r="B30" s="442"/>
      <c r="C30" s="442"/>
      <c r="D30" s="442"/>
      <c r="E30" s="306" t="s">
        <v>449</v>
      </c>
      <c r="F30" s="308">
        <v>16</v>
      </c>
      <c r="G30" s="19">
        <v>130</v>
      </c>
      <c r="H30" s="19">
        <v>120</v>
      </c>
      <c r="I30" s="22">
        <f t="shared" si="0"/>
        <v>0.24959999999999999</v>
      </c>
      <c r="J30" s="447"/>
    </row>
    <row r="31" spans="1:10" ht="13.15" customHeight="1">
      <c r="A31" s="437">
        <v>10</v>
      </c>
      <c r="B31" s="440" t="s">
        <v>82</v>
      </c>
      <c r="C31" s="440" t="s">
        <v>68</v>
      </c>
      <c r="D31" s="440" t="s">
        <v>69</v>
      </c>
      <c r="E31" s="298" t="s">
        <v>451</v>
      </c>
      <c r="F31" s="308">
        <v>2</v>
      </c>
      <c r="G31" s="19">
        <v>150</v>
      </c>
      <c r="H31" s="19">
        <v>120</v>
      </c>
      <c r="I31" s="22">
        <f t="shared" si="0"/>
        <v>3.5999999999999997E-2</v>
      </c>
      <c r="J31" s="445">
        <f>I31+I32+I33</f>
        <v>0.84720000000000006</v>
      </c>
    </row>
    <row r="32" spans="1:10" ht="13.15" customHeight="1">
      <c r="A32" s="438"/>
      <c r="B32" s="441"/>
      <c r="C32" s="441"/>
      <c r="D32" s="441"/>
      <c r="E32" s="303" t="s">
        <v>450</v>
      </c>
      <c r="F32" s="308">
        <v>0</v>
      </c>
      <c r="G32" s="19">
        <v>150</v>
      </c>
      <c r="H32" s="19">
        <v>120</v>
      </c>
      <c r="I32" s="22">
        <f t="shared" si="0"/>
        <v>0</v>
      </c>
      <c r="J32" s="446"/>
    </row>
    <row r="33" spans="1:10" ht="13.15" customHeight="1">
      <c r="A33" s="439"/>
      <c r="B33" s="442"/>
      <c r="C33" s="442"/>
      <c r="D33" s="442"/>
      <c r="E33" s="306" t="s">
        <v>449</v>
      </c>
      <c r="F33" s="308">
        <v>52</v>
      </c>
      <c r="G33" s="19">
        <v>130</v>
      </c>
      <c r="H33" s="19">
        <v>120</v>
      </c>
      <c r="I33" s="22">
        <f t="shared" si="0"/>
        <v>0.81120000000000003</v>
      </c>
      <c r="J33" s="447"/>
    </row>
    <row r="34" spans="1:10" ht="13.15" customHeight="1">
      <c r="A34" s="437">
        <v>11</v>
      </c>
      <c r="B34" s="440" t="s">
        <v>10</v>
      </c>
      <c r="C34" s="440" t="s">
        <v>68</v>
      </c>
      <c r="D34" s="440" t="s">
        <v>69</v>
      </c>
      <c r="E34" s="298" t="s">
        <v>451</v>
      </c>
      <c r="F34" s="308">
        <v>11</v>
      </c>
      <c r="G34" s="19">
        <v>150</v>
      </c>
      <c r="H34" s="19">
        <v>120</v>
      </c>
      <c r="I34" s="22">
        <f t="shared" si="0"/>
        <v>0.19800000000000001</v>
      </c>
      <c r="J34" s="445">
        <f>I34+I35+I36</f>
        <v>0.2316</v>
      </c>
    </row>
    <row r="35" spans="1:10" ht="13.15" customHeight="1">
      <c r="A35" s="438"/>
      <c r="B35" s="441"/>
      <c r="C35" s="441"/>
      <c r="D35" s="441"/>
      <c r="E35" s="303" t="s">
        <v>450</v>
      </c>
      <c r="F35" s="308">
        <v>1</v>
      </c>
      <c r="G35" s="19">
        <v>150</v>
      </c>
      <c r="H35" s="19">
        <v>120</v>
      </c>
      <c r="I35" s="22">
        <f t="shared" si="0"/>
        <v>1.7999999999999999E-2</v>
      </c>
      <c r="J35" s="446"/>
    </row>
    <row r="36" spans="1:10" ht="13.15" customHeight="1">
      <c r="A36" s="439"/>
      <c r="B36" s="442"/>
      <c r="C36" s="442"/>
      <c r="D36" s="442"/>
      <c r="E36" s="306" t="s">
        <v>449</v>
      </c>
      <c r="F36" s="308">
        <v>1</v>
      </c>
      <c r="G36" s="19">
        <v>130</v>
      </c>
      <c r="H36" s="19">
        <v>120</v>
      </c>
      <c r="I36" s="22">
        <f t="shared" ref="I36:I67" si="1">F36*G36*H36/1000000</f>
        <v>1.5599999999999999E-2</v>
      </c>
      <c r="J36" s="447"/>
    </row>
    <row r="37" spans="1:10" ht="13.15" customHeight="1">
      <c r="A37" s="437">
        <v>12</v>
      </c>
      <c r="B37" s="440" t="s">
        <v>11</v>
      </c>
      <c r="C37" s="440" t="s">
        <v>68</v>
      </c>
      <c r="D37" s="440" t="s">
        <v>69</v>
      </c>
      <c r="E37" s="298" t="s">
        <v>451</v>
      </c>
      <c r="F37" s="308">
        <v>3</v>
      </c>
      <c r="G37" s="19">
        <v>150</v>
      </c>
      <c r="H37" s="19">
        <v>120</v>
      </c>
      <c r="I37" s="22">
        <f t="shared" si="1"/>
        <v>5.3999999999999999E-2</v>
      </c>
      <c r="J37" s="445">
        <f>I37+I38+I39</f>
        <v>0.2412</v>
      </c>
    </row>
    <row r="38" spans="1:10" ht="13.15" customHeight="1">
      <c r="A38" s="438"/>
      <c r="B38" s="441"/>
      <c r="C38" s="441"/>
      <c r="D38" s="441"/>
      <c r="E38" s="303" t="s">
        <v>450</v>
      </c>
      <c r="F38" s="308">
        <v>0</v>
      </c>
      <c r="G38" s="19">
        <v>150</v>
      </c>
      <c r="H38" s="19">
        <v>120</v>
      </c>
      <c r="I38" s="22">
        <f t="shared" si="1"/>
        <v>0</v>
      </c>
      <c r="J38" s="446"/>
    </row>
    <row r="39" spans="1:10" ht="13.15" customHeight="1">
      <c r="A39" s="439"/>
      <c r="B39" s="442"/>
      <c r="C39" s="442"/>
      <c r="D39" s="442"/>
      <c r="E39" s="306" t="s">
        <v>449</v>
      </c>
      <c r="F39" s="308">
        <v>12</v>
      </c>
      <c r="G39" s="19">
        <v>130</v>
      </c>
      <c r="H39" s="19">
        <v>120</v>
      </c>
      <c r="I39" s="22">
        <f t="shared" si="1"/>
        <v>0.18720000000000001</v>
      </c>
      <c r="J39" s="447"/>
    </row>
    <row r="40" spans="1:10" ht="13.15" customHeight="1">
      <c r="A40" s="437">
        <v>13</v>
      </c>
      <c r="B40" s="440" t="s">
        <v>12</v>
      </c>
      <c r="C40" s="440" t="s">
        <v>68</v>
      </c>
      <c r="D40" s="440" t="s">
        <v>69</v>
      </c>
      <c r="E40" s="298" t="s">
        <v>451</v>
      </c>
      <c r="F40" s="308">
        <v>147</v>
      </c>
      <c r="G40" s="19">
        <v>150</v>
      </c>
      <c r="H40" s="19">
        <v>120</v>
      </c>
      <c r="I40" s="22">
        <f t="shared" si="1"/>
        <v>2.6459999999999999</v>
      </c>
      <c r="J40" s="445">
        <f>I40+I41+I42</f>
        <v>2.9807999999999999</v>
      </c>
    </row>
    <row r="41" spans="1:10" ht="13.15" customHeight="1">
      <c r="A41" s="438"/>
      <c r="B41" s="441"/>
      <c r="C41" s="441"/>
      <c r="D41" s="441"/>
      <c r="E41" s="303" t="s">
        <v>450</v>
      </c>
      <c r="F41" s="308">
        <v>16</v>
      </c>
      <c r="G41" s="19">
        <v>150</v>
      </c>
      <c r="H41" s="19">
        <v>120</v>
      </c>
      <c r="I41" s="22">
        <f t="shared" si="1"/>
        <v>0.28799999999999998</v>
      </c>
      <c r="J41" s="446"/>
    </row>
    <row r="42" spans="1:10" ht="13.15" customHeight="1">
      <c r="A42" s="439"/>
      <c r="B42" s="442"/>
      <c r="C42" s="442"/>
      <c r="D42" s="442"/>
      <c r="E42" s="306" t="s">
        <v>449</v>
      </c>
      <c r="F42" s="308">
        <v>3</v>
      </c>
      <c r="G42" s="19">
        <v>130</v>
      </c>
      <c r="H42" s="19">
        <v>120</v>
      </c>
      <c r="I42" s="22">
        <f t="shared" si="1"/>
        <v>4.6800000000000001E-2</v>
      </c>
      <c r="J42" s="447"/>
    </row>
    <row r="43" spans="1:10" ht="13.15" customHeight="1">
      <c r="A43" s="437">
        <v>14</v>
      </c>
      <c r="B43" s="440" t="s">
        <v>13</v>
      </c>
      <c r="C43" s="440" t="s">
        <v>68</v>
      </c>
      <c r="D43" s="440" t="s">
        <v>69</v>
      </c>
      <c r="E43" s="298" t="s">
        <v>451</v>
      </c>
      <c r="F43" s="308">
        <v>0</v>
      </c>
      <c r="G43" s="19">
        <v>150</v>
      </c>
      <c r="H43" s="19">
        <v>120</v>
      </c>
      <c r="I43" s="22">
        <f t="shared" si="1"/>
        <v>0</v>
      </c>
      <c r="J43" s="445">
        <f>I43+I44+I45</f>
        <v>0.4476</v>
      </c>
    </row>
    <row r="44" spans="1:10" ht="13.15" customHeight="1">
      <c r="A44" s="438"/>
      <c r="B44" s="441"/>
      <c r="C44" s="441"/>
      <c r="D44" s="441"/>
      <c r="E44" s="303" t="s">
        <v>450</v>
      </c>
      <c r="F44" s="308">
        <v>11</v>
      </c>
      <c r="G44" s="19">
        <v>150</v>
      </c>
      <c r="H44" s="19">
        <v>120</v>
      </c>
      <c r="I44" s="22">
        <f t="shared" si="1"/>
        <v>0.19800000000000001</v>
      </c>
      <c r="J44" s="446"/>
    </row>
    <row r="45" spans="1:10" ht="13.15" customHeight="1">
      <c r="A45" s="439"/>
      <c r="B45" s="442"/>
      <c r="C45" s="442"/>
      <c r="D45" s="442"/>
      <c r="E45" s="306" t="s">
        <v>449</v>
      </c>
      <c r="F45" s="308">
        <v>16</v>
      </c>
      <c r="G45" s="19">
        <v>130</v>
      </c>
      <c r="H45" s="19">
        <v>120</v>
      </c>
      <c r="I45" s="22">
        <f t="shared" si="1"/>
        <v>0.24959999999999999</v>
      </c>
      <c r="J45" s="447"/>
    </row>
    <row r="46" spans="1:10" ht="13.15" customHeight="1">
      <c r="A46" s="437">
        <v>15</v>
      </c>
      <c r="B46" s="440" t="s">
        <v>83</v>
      </c>
      <c r="C46" s="440" t="s">
        <v>68</v>
      </c>
      <c r="D46" s="440" t="s">
        <v>69</v>
      </c>
      <c r="E46" s="298" t="s">
        <v>451</v>
      </c>
      <c r="F46" s="308">
        <v>5</v>
      </c>
      <c r="G46" s="19">
        <v>150</v>
      </c>
      <c r="H46" s="19">
        <v>120</v>
      </c>
      <c r="I46" s="22">
        <f t="shared" si="1"/>
        <v>0.09</v>
      </c>
      <c r="J46" s="445">
        <f>I46+I47+I48</f>
        <v>0.09</v>
      </c>
    </row>
    <row r="47" spans="1:10" ht="13.15" customHeight="1">
      <c r="A47" s="438"/>
      <c r="B47" s="441"/>
      <c r="C47" s="441"/>
      <c r="D47" s="441"/>
      <c r="E47" s="303" t="s">
        <v>450</v>
      </c>
      <c r="F47" s="308">
        <v>0</v>
      </c>
      <c r="G47" s="19">
        <v>150</v>
      </c>
      <c r="H47" s="19">
        <v>120</v>
      </c>
      <c r="I47" s="22">
        <f t="shared" si="1"/>
        <v>0</v>
      </c>
      <c r="J47" s="446"/>
    </row>
    <row r="48" spans="1:10" ht="13.15" customHeight="1">
      <c r="A48" s="439"/>
      <c r="B48" s="442"/>
      <c r="C48" s="442"/>
      <c r="D48" s="442"/>
      <c r="E48" s="306" t="s">
        <v>449</v>
      </c>
      <c r="F48" s="308">
        <v>0</v>
      </c>
      <c r="G48" s="19">
        <v>130</v>
      </c>
      <c r="H48" s="19">
        <v>120</v>
      </c>
      <c r="I48" s="22">
        <f t="shared" si="1"/>
        <v>0</v>
      </c>
      <c r="J48" s="447"/>
    </row>
    <row r="49" spans="1:10" ht="13.15" customHeight="1">
      <c r="A49" s="437">
        <v>16</v>
      </c>
      <c r="B49" s="440" t="s">
        <v>15</v>
      </c>
      <c r="C49" s="440" t="s">
        <v>68</v>
      </c>
      <c r="D49" s="440" t="s">
        <v>69</v>
      </c>
      <c r="E49" s="298" t="s">
        <v>451</v>
      </c>
      <c r="F49" s="308">
        <v>0</v>
      </c>
      <c r="G49" s="19">
        <v>150</v>
      </c>
      <c r="H49" s="19">
        <v>120</v>
      </c>
      <c r="I49" s="22">
        <f t="shared" si="1"/>
        <v>0</v>
      </c>
      <c r="J49" s="445">
        <f>I49+I50+I51</f>
        <v>7.8E-2</v>
      </c>
    </row>
    <row r="50" spans="1:10" ht="13.15" customHeight="1">
      <c r="A50" s="438"/>
      <c r="B50" s="441"/>
      <c r="C50" s="441"/>
      <c r="D50" s="441"/>
      <c r="E50" s="303" t="s">
        <v>450</v>
      </c>
      <c r="F50" s="308">
        <v>0</v>
      </c>
      <c r="G50" s="19">
        <v>150</v>
      </c>
      <c r="H50" s="19">
        <v>120</v>
      </c>
      <c r="I50" s="22">
        <f t="shared" si="1"/>
        <v>0</v>
      </c>
      <c r="J50" s="446"/>
    </row>
    <row r="51" spans="1:10" ht="13.15" customHeight="1">
      <c r="A51" s="439"/>
      <c r="B51" s="442"/>
      <c r="C51" s="442"/>
      <c r="D51" s="442"/>
      <c r="E51" s="306" t="s">
        <v>449</v>
      </c>
      <c r="F51" s="308">
        <v>5</v>
      </c>
      <c r="G51" s="19">
        <v>130</v>
      </c>
      <c r="H51" s="19">
        <v>120</v>
      </c>
      <c r="I51" s="22">
        <f t="shared" si="1"/>
        <v>7.8E-2</v>
      </c>
      <c r="J51" s="447"/>
    </row>
    <row r="52" spans="1:10" ht="13.15" customHeight="1">
      <c r="A52" s="437">
        <v>17</v>
      </c>
      <c r="B52" s="440" t="s">
        <v>16</v>
      </c>
      <c r="C52" s="440" t="s">
        <v>68</v>
      </c>
      <c r="D52" s="440" t="s">
        <v>69</v>
      </c>
      <c r="E52" s="298" t="s">
        <v>451</v>
      </c>
      <c r="F52" s="308">
        <v>20</v>
      </c>
      <c r="G52" s="19">
        <v>150</v>
      </c>
      <c r="H52" s="19">
        <v>120</v>
      </c>
      <c r="I52" s="22">
        <f t="shared" si="1"/>
        <v>0.36</v>
      </c>
      <c r="J52" s="445">
        <f>I52+I53+I54</f>
        <v>0.87240000000000006</v>
      </c>
    </row>
    <row r="53" spans="1:10" ht="13.15" customHeight="1">
      <c r="A53" s="438"/>
      <c r="B53" s="441"/>
      <c r="C53" s="441"/>
      <c r="D53" s="441"/>
      <c r="E53" s="303" t="s">
        <v>450</v>
      </c>
      <c r="F53" s="308">
        <v>25</v>
      </c>
      <c r="G53" s="19">
        <v>150</v>
      </c>
      <c r="H53" s="19">
        <v>120</v>
      </c>
      <c r="I53" s="22">
        <f t="shared" si="1"/>
        <v>0.45</v>
      </c>
      <c r="J53" s="446"/>
    </row>
    <row r="54" spans="1:10" ht="13.15" customHeight="1">
      <c r="A54" s="439"/>
      <c r="B54" s="442"/>
      <c r="C54" s="442"/>
      <c r="D54" s="442"/>
      <c r="E54" s="306" t="s">
        <v>449</v>
      </c>
      <c r="F54" s="308">
        <v>4</v>
      </c>
      <c r="G54" s="19">
        <v>130</v>
      </c>
      <c r="H54" s="19">
        <v>120</v>
      </c>
      <c r="I54" s="22">
        <f t="shared" si="1"/>
        <v>6.2399999999999997E-2</v>
      </c>
      <c r="J54" s="447"/>
    </row>
    <row r="55" spans="1:10" ht="13.15" customHeight="1">
      <c r="A55" s="437">
        <v>24</v>
      </c>
      <c r="B55" s="440" t="s">
        <v>55</v>
      </c>
      <c r="C55" s="440" t="s">
        <v>68</v>
      </c>
      <c r="D55" s="440" t="s">
        <v>69</v>
      </c>
      <c r="E55" s="298" t="s">
        <v>451</v>
      </c>
      <c r="F55" s="308">
        <v>6</v>
      </c>
      <c r="G55" s="19">
        <v>150</v>
      </c>
      <c r="H55" s="19">
        <v>120</v>
      </c>
      <c r="I55" s="22">
        <f t="shared" si="1"/>
        <v>0.108</v>
      </c>
      <c r="J55" s="445">
        <f>I55+I56+I57</f>
        <v>0.1416</v>
      </c>
    </row>
    <row r="56" spans="1:10" ht="13.15" customHeight="1">
      <c r="A56" s="438"/>
      <c r="B56" s="441"/>
      <c r="C56" s="441"/>
      <c r="D56" s="441"/>
      <c r="E56" s="303" t="s">
        <v>450</v>
      </c>
      <c r="F56" s="308">
        <v>1</v>
      </c>
      <c r="G56" s="19">
        <v>150</v>
      </c>
      <c r="H56" s="19">
        <v>120</v>
      </c>
      <c r="I56" s="22">
        <f t="shared" si="1"/>
        <v>1.7999999999999999E-2</v>
      </c>
      <c r="J56" s="446"/>
    </row>
    <row r="57" spans="1:10" ht="13.15" customHeight="1">
      <c r="A57" s="439"/>
      <c r="B57" s="442"/>
      <c r="C57" s="442"/>
      <c r="D57" s="442"/>
      <c r="E57" s="306" t="s">
        <v>449</v>
      </c>
      <c r="F57" s="308">
        <v>1</v>
      </c>
      <c r="G57" s="19">
        <v>130</v>
      </c>
      <c r="H57" s="19">
        <v>120</v>
      </c>
      <c r="I57" s="22">
        <f t="shared" si="1"/>
        <v>1.5599999999999999E-2</v>
      </c>
      <c r="J57" s="447"/>
    </row>
    <row r="58" spans="1:10" ht="13.15" customHeight="1">
      <c r="A58" s="437">
        <v>18</v>
      </c>
      <c r="B58" s="440" t="s">
        <v>17</v>
      </c>
      <c r="C58" s="440" t="s">
        <v>68</v>
      </c>
      <c r="D58" s="440" t="s">
        <v>69</v>
      </c>
      <c r="E58" s="298" t="s">
        <v>451</v>
      </c>
      <c r="F58" s="308">
        <v>10</v>
      </c>
      <c r="G58" s="19">
        <v>150</v>
      </c>
      <c r="H58" s="19">
        <v>120</v>
      </c>
      <c r="I58" s="22">
        <f t="shared" si="1"/>
        <v>0.18</v>
      </c>
      <c r="J58" s="445">
        <f>I58+I59+I60</f>
        <v>0.43440000000000001</v>
      </c>
    </row>
    <row r="59" spans="1:10" ht="13.15" customHeight="1">
      <c r="A59" s="438"/>
      <c r="B59" s="441"/>
      <c r="C59" s="441"/>
      <c r="D59" s="441"/>
      <c r="E59" s="303" t="s">
        <v>450</v>
      </c>
      <c r="F59" s="308">
        <v>2</v>
      </c>
      <c r="G59" s="19">
        <v>150</v>
      </c>
      <c r="H59" s="19">
        <v>120</v>
      </c>
      <c r="I59" s="22">
        <f t="shared" si="1"/>
        <v>3.5999999999999997E-2</v>
      </c>
      <c r="J59" s="446"/>
    </row>
    <row r="60" spans="1:10" ht="13.15" customHeight="1">
      <c r="A60" s="439"/>
      <c r="B60" s="442"/>
      <c r="C60" s="442"/>
      <c r="D60" s="442"/>
      <c r="E60" s="306" t="s">
        <v>449</v>
      </c>
      <c r="F60" s="308">
        <v>14</v>
      </c>
      <c r="G60" s="19">
        <v>130</v>
      </c>
      <c r="H60" s="19">
        <v>120</v>
      </c>
      <c r="I60" s="22">
        <f t="shared" si="1"/>
        <v>0.21840000000000001</v>
      </c>
      <c r="J60" s="447"/>
    </row>
    <row r="61" spans="1:10" ht="13.15" customHeight="1">
      <c r="A61" s="437">
        <v>19</v>
      </c>
      <c r="B61" s="440" t="s">
        <v>84</v>
      </c>
      <c r="C61" s="440" t="s">
        <v>68</v>
      </c>
      <c r="D61" s="440" t="s">
        <v>69</v>
      </c>
      <c r="E61" s="298" t="s">
        <v>451</v>
      </c>
      <c r="F61" s="308">
        <v>12</v>
      </c>
      <c r="G61" s="19">
        <v>150</v>
      </c>
      <c r="H61" s="19">
        <v>120</v>
      </c>
      <c r="I61" s="22">
        <f t="shared" si="1"/>
        <v>0.216</v>
      </c>
      <c r="J61" s="445">
        <f>I61+I62+I63</f>
        <v>0.2472</v>
      </c>
    </row>
    <row r="62" spans="1:10" ht="13.15" customHeight="1">
      <c r="A62" s="438"/>
      <c r="B62" s="441"/>
      <c r="C62" s="441"/>
      <c r="D62" s="441"/>
      <c r="E62" s="303" t="s">
        <v>450</v>
      </c>
      <c r="F62" s="308">
        <v>0</v>
      </c>
      <c r="G62" s="19">
        <v>150</v>
      </c>
      <c r="H62" s="19">
        <v>120</v>
      </c>
      <c r="I62" s="22">
        <f t="shared" si="1"/>
        <v>0</v>
      </c>
      <c r="J62" s="446"/>
    </row>
    <row r="63" spans="1:10" ht="13.15" customHeight="1">
      <c r="A63" s="439"/>
      <c r="B63" s="442"/>
      <c r="C63" s="442"/>
      <c r="D63" s="442"/>
      <c r="E63" s="306" t="s">
        <v>449</v>
      </c>
      <c r="F63" s="308">
        <v>2</v>
      </c>
      <c r="G63" s="19">
        <v>130</v>
      </c>
      <c r="H63" s="19">
        <v>120</v>
      </c>
      <c r="I63" s="22">
        <f t="shared" si="1"/>
        <v>3.1199999999999999E-2</v>
      </c>
      <c r="J63" s="447"/>
    </row>
    <row r="64" spans="1:10" ht="13.15" customHeight="1">
      <c r="A64" s="437">
        <v>20</v>
      </c>
      <c r="B64" s="440" t="s">
        <v>19</v>
      </c>
      <c r="C64" s="440" t="s">
        <v>68</v>
      </c>
      <c r="D64" s="440" t="s">
        <v>69</v>
      </c>
      <c r="E64" s="298" t="s">
        <v>451</v>
      </c>
      <c r="F64" s="308">
        <v>28</v>
      </c>
      <c r="G64" s="19">
        <v>150</v>
      </c>
      <c r="H64" s="19">
        <v>120</v>
      </c>
      <c r="I64" s="22">
        <f t="shared" si="1"/>
        <v>0.504</v>
      </c>
      <c r="J64" s="445">
        <f>I64+I65+I66</f>
        <v>0.71519999999999995</v>
      </c>
    </row>
    <row r="65" spans="1:10" ht="13.15" customHeight="1">
      <c r="A65" s="438"/>
      <c r="B65" s="441"/>
      <c r="C65" s="441"/>
      <c r="D65" s="441"/>
      <c r="E65" s="303" t="s">
        <v>450</v>
      </c>
      <c r="F65" s="308">
        <v>10</v>
      </c>
      <c r="G65" s="19">
        <v>150</v>
      </c>
      <c r="H65" s="19">
        <v>120</v>
      </c>
      <c r="I65" s="22">
        <f t="shared" si="1"/>
        <v>0.18</v>
      </c>
      <c r="J65" s="446"/>
    </row>
    <row r="66" spans="1:10" ht="13.15" customHeight="1">
      <c r="A66" s="439"/>
      <c r="B66" s="442"/>
      <c r="C66" s="442"/>
      <c r="D66" s="442"/>
      <c r="E66" s="306" t="s">
        <v>449</v>
      </c>
      <c r="F66" s="308">
        <v>2</v>
      </c>
      <c r="G66" s="19">
        <v>130</v>
      </c>
      <c r="H66" s="19">
        <v>120</v>
      </c>
      <c r="I66" s="22">
        <f t="shared" si="1"/>
        <v>3.1199999999999999E-2</v>
      </c>
      <c r="J66" s="447"/>
    </row>
    <row r="67" spans="1:10" ht="13.15" customHeight="1">
      <c r="A67" s="437">
        <v>21</v>
      </c>
      <c r="B67" s="440" t="s">
        <v>20</v>
      </c>
      <c r="C67" s="440" t="s">
        <v>68</v>
      </c>
      <c r="D67" s="440" t="s">
        <v>69</v>
      </c>
      <c r="E67" s="298" t="s">
        <v>451</v>
      </c>
      <c r="F67" s="308">
        <v>76</v>
      </c>
      <c r="G67" s="19">
        <v>150</v>
      </c>
      <c r="H67" s="19">
        <v>120</v>
      </c>
      <c r="I67" s="22">
        <f t="shared" si="1"/>
        <v>1.3680000000000001</v>
      </c>
      <c r="J67" s="445">
        <f>I67+I68+I69</f>
        <v>1.4940000000000002</v>
      </c>
    </row>
    <row r="68" spans="1:10" ht="13.15" customHeight="1">
      <c r="A68" s="438"/>
      <c r="B68" s="441"/>
      <c r="C68" s="441"/>
      <c r="D68" s="441"/>
      <c r="E68" s="303" t="s">
        <v>450</v>
      </c>
      <c r="F68" s="308">
        <v>7</v>
      </c>
      <c r="G68" s="19">
        <v>150</v>
      </c>
      <c r="H68" s="19">
        <v>120</v>
      </c>
      <c r="I68" s="22">
        <f t="shared" ref="I68:I99" si="2">F68*G68*H68/1000000</f>
        <v>0.126</v>
      </c>
      <c r="J68" s="446"/>
    </row>
    <row r="69" spans="1:10" ht="13.15" customHeight="1">
      <c r="A69" s="439"/>
      <c r="B69" s="442"/>
      <c r="C69" s="442"/>
      <c r="D69" s="442"/>
      <c r="E69" s="306" t="s">
        <v>449</v>
      </c>
      <c r="F69" s="308">
        <v>0</v>
      </c>
      <c r="G69" s="19">
        <v>130</v>
      </c>
      <c r="H69" s="19">
        <v>120</v>
      </c>
      <c r="I69" s="22">
        <f t="shared" si="2"/>
        <v>0</v>
      </c>
      <c r="J69" s="447"/>
    </row>
    <row r="70" spans="1:10" ht="13.15" customHeight="1">
      <c r="A70" s="437">
        <v>22</v>
      </c>
      <c r="B70" s="440" t="s">
        <v>21</v>
      </c>
      <c r="C70" s="440" t="s">
        <v>68</v>
      </c>
      <c r="D70" s="440" t="s">
        <v>69</v>
      </c>
      <c r="E70" s="298" t="s">
        <v>451</v>
      </c>
      <c r="F70" s="308">
        <v>3</v>
      </c>
      <c r="G70" s="19">
        <v>150</v>
      </c>
      <c r="H70" s="19">
        <v>120</v>
      </c>
      <c r="I70" s="22">
        <f t="shared" si="2"/>
        <v>5.3999999999999999E-2</v>
      </c>
      <c r="J70" s="445">
        <f>I70+I71+I72</f>
        <v>0.3</v>
      </c>
    </row>
    <row r="71" spans="1:10" ht="13.15" customHeight="1">
      <c r="A71" s="438"/>
      <c r="B71" s="441"/>
      <c r="C71" s="441"/>
      <c r="D71" s="441"/>
      <c r="E71" s="303" t="s">
        <v>450</v>
      </c>
      <c r="F71" s="308">
        <v>5</v>
      </c>
      <c r="G71" s="19">
        <v>150</v>
      </c>
      <c r="H71" s="19">
        <v>120</v>
      </c>
      <c r="I71" s="22">
        <f t="shared" si="2"/>
        <v>0.09</v>
      </c>
      <c r="J71" s="446"/>
    </row>
    <row r="72" spans="1:10" ht="13.15" customHeight="1">
      <c r="A72" s="439"/>
      <c r="B72" s="442"/>
      <c r="C72" s="442"/>
      <c r="D72" s="442"/>
      <c r="E72" s="306" t="s">
        <v>449</v>
      </c>
      <c r="F72" s="308">
        <v>10</v>
      </c>
      <c r="G72" s="19">
        <v>130</v>
      </c>
      <c r="H72" s="19">
        <v>120</v>
      </c>
      <c r="I72" s="22">
        <f t="shared" si="2"/>
        <v>0.156</v>
      </c>
      <c r="J72" s="447"/>
    </row>
    <row r="73" spans="1:10" ht="13.15" customHeight="1">
      <c r="A73" s="437">
        <v>23</v>
      </c>
      <c r="B73" s="440" t="s">
        <v>85</v>
      </c>
      <c r="C73" s="440" t="s">
        <v>68</v>
      </c>
      <c r="D73" s="440" t="s">
        <v>69</v>
      </c>
      <c r="E73" s="298" t="s">
        <v>451</v>
      </c>
      <c r="F73" s="308">
        <v>0</v>
      </c>
      <c r="G73" s="19">
        <v>150</v>
      </c>
      <c r="H73" s="19">
        <v>120</v>
      </c>
      <c r="I73" s="22">
        <f t="shared" si="2"/>
        <v>0</v>
      </c>
      <c r="J73" s="445">
        <f>I73+I74+I75</f>
        <v>1.5599999999999999E-2</v>
      </c>
    </row>
    <row r="74" spans="1:10" ht="13.15" customHeight="1">
      <c r="A74" s="438"/>
      <c r="B74" s="441"/>
      <c r="C74" s="441"/>
      <c r="D74" s="441"/>
      <c r="E74" s="303" t="s">
        <v>450</v>
      </c>
      <c r="F74" s="308">
        <v>0</v>
      </c>
      <c r="G74" s="19">
        <v>150</v>
      </c>
      <c r="H74" s="19">
        <v>120</v>
      </c>
      <c r="I74" s="22">
        <f t="shared" si="2"/>
        <v>0</v>
      </c>
      <c r="J74" s="446"/>
    </row>
    <row r="75" spans="1:10" ht="13.15" customHeight="1">
      <c r="A75" s="439"/>
      <c r="B75" s="442"/>
      <c r="C75" s="442"/>
      <c r="D75" s="442"/>
      <c r="E75" s="306" t="s">
        <v>449</v>
      </c>
      <c r="F75" s="308">
        <v>1</v>
      </c>
      <c r="G75" s="19">
        <v>130</v>
      </c>
      <c r="H75" s="19">
        <v>120</v>
      </c>
      <c r="I75" s="22">
        <f t="shared" si="2"/>
        <v>1.5599999999999999E-2</v>
      </c>
      <c r="J75" s="447"/>
    </row>
    <row r="76" spans="1:10" ht="13.15" customHeight="1">
      <c r="A76" s="437">
        <v>25</v>
      </c>
      <c r="B76" s="440" t="s">
        <v>23</v>
      </c>
      <c r="C76" s="440" t="s">
        <v>68</v>
      </c>
      <c r="D76" s="440" t="s">
        <v>69</v>
      </c>
      <c r="E76" s="298" t="s">
        <v>451</v>
      </c>
      <c r="F76" s="308">
        <v>20</v>
      </c>
      <c r="G76" s="19">
        <v>150</v>
      </c>
      <c r="H76" s="19">
        <v>120</v>
      </c>
      <c r="I76" s="22">
        <f t="shared" si="2"/>
        <v>0.36</v>
      </c>
      <c r="J76" s="445">
        <f>I76+I77+I78</f>
        <v>0.53879999999999995</v>
      </c>
    </row>
    <row r="77" spans="1:10" ht="13.15" customHeight="1">
      <c r="A77" s="438"/>
      <c r="B77" s="441"/>
      <c r="C77" s="441"/>
      <c r="D77" s="441"/>
      <c r="E77" s="303" t="s">
        <v>450</v>
      </c>
      <c r="F77" s="308">
        <v>3</v>
      </c>
      <c r="G77" s="19">
        <v>150</v>
      </c>
      <c r="H77" s="19">
        <v>120</v>
      </c>
      <c r="I77" s="22">
        <f t="shared" si="2"/>
        <v>5.3999999999999999E-2</v>
      </c>
      <c r="J77" s="446"/>
    </row>
    <row r="78" spans="1:10" ht="13.15" customHeight="1">
      <c r="A78" s="439"/>
      <c r="B78" s="442"/>
      <c r="C78" s="442"/>
      <c r="D78" s="442"/>
      <c r="E78" s="306" t="s">
        <v>449</v>
      </c>
      <c r="F78" s="308">
        <v>8</v>
      </c>
      <c r="G78" s="19">
        <v>130</v>
      </c>
      <c r="H78" s="19">
        <v>120</v>
      </c>
      <c r="I78" s="22">
        <f t="shared" si="2"/>
        <v>0.12479999999999999</v>
      </c>
      <c r="J78" s="447"/>
    </row>
    <row r="79" spans="1:10" ht="13.15" customHeight="1">
      <c r="A79" s="437">
        <v>26</v>
      </c>
      <c r="B79" s="440" t="s">
        <v>24</v>
      </c>
      <c r="C79" s="440" t="s">
        <v>68</v>
      </c>
      <c r="D79" s="440" t="s">
        <v>69</v>
      </c>
      <c r="E79" s="298" t="s">
        <v>451</v>
      </c>
      <c r="F79" s="308">
        <v>3</v>
      </c>
      <c r="G79" s="19">
        <v>150</v>
      </c>
      <c r="H79" s="19">
        <v>120</v>
      </c>
      <c r="I79" s="22">
        <f t="shared" si="2"/>
        <v>5.3999999999999999E-2</v>
      </c>
      <c r="J79" s="445">
        <f>I79+I80+I81</f>
        <v>0.17879999999999999</v>
      </c>
    </row>
    <row r="80" spans="1:10" ht="13.15" customHeight="1">
      <c r="A80" s="438"/>
      <c r="B80" s="441"/>
      <c r="C80" s="441"/>
      <c r="D80" s="441"/>
      <c r="E80" s="303" t="s">
        <v>450</v>
      </c>
      <c r="F80" s="308">
        <v>0</v>
      </c>
      <c r="G80" s="19">
        <v>150</v>
      </c>
      <c r="H80" s="19">
        <v>120</v>
      </c>
      <c r="I80" s="22">
        <f t="shared" si="2"/>
        <v>0</v>
      </c>
      <c r="J80" s="446"/>
    </row>
    <row r="81" spans="1:10" ht="13.15" customHeight="1">
      <c r="A81" s="439"/>
      <c r="B81" s="442"/>
      <c r="C81" s="442"/>
      <c r="D81" s="442"/>
      <c r="E81" s="306" t="s">
        <v>449</v>
      </c>
      <c r="F81" s="308">
        <v>8</v>
      </c>
      <c r="G81" s="19">
        <v>130</v>
      </c>
      <c r="H81" s="19">
        <v>120</v>
      </c>
      <c r="I81" s="22">
        <f t="shared" si="2"/>
        <v>0.12479999999999999</v>
      </c>
      <c r="J81" s="447"/>
    </row>
    <row r="82" spans="1:10" ht="13.15" customHeight="1">
      <c r="A82" s="437">
        <v>27</v>
      </c>
      <c r="B82" s="440" t="s">
        <v>25</v>
      </c>
      <c r="C82" s="440" t="s">
        <v>68</v>
      </c>
      <c r="D82" s="440" t="s">
        <v>69</v>
      </c>
      <c r="E82" s="298" t="s">
        <v>451</v>
      </c>
      <c r="F82" s="308">
        <v>77</v>
      </c>
      <c r="G82" s="19">
        <v>150</v>
      </c>
      <c r="H82" s="19">
        <v>120</v>
      </c>
      <c r="I82" s="22">
        <f t="shared" si="2"/>
        <v>1.3859999999999999</v>
      </c>
      <c r="J82" s="445">
        <f>I82+I83+I84</f>
        <v>1.6175999999999999</v>
      </c>
    </row>
    <row r="83" spans="1:10" ht="13.15" customHeight="1">
      <c r="A83" s="438"/>
      <c r="B83" s="441"/>
      <c r="C83" s="441"/>
      <c r="D83" s="441"/>
      <c r="E83" s="303" t="s">
        <v>450</v>
      </c>
      <c r="F83" s="308">
        <v>12</v>
      </c>
      <c r="G83" s="19">
        <v>150</v>
      </c>
      <c r="H83" s="19">
        <v>120</v>
      </c>
      <c r="I83" s="22">
        <f t="shared" si="2"/>
        <v>0.216</v>
      </c>
      <c r="J83" s="446"/>
    </row>
    <row r="84" spans="1:10" ht="13.15" customHeight="1">
      <c r="A84" s="439"/>
      <c r="B84" s="442"/>
      <c r="C84" s="442"/>
      <c r="D84" s="442"/>
      <c r="E84" s="306" t="s">
        <v>449</v>
      </c>
      <c r="F84" s="308">
        <v>1</v>
      </c>
      <c r="G84" s="19">
        <v>130</v>
      </c>
      <c r="H84" s="19">
        <v>120</v>
      </c>
      <c r="I84" s="22">
        <f t="shared" si="2"/>
        <v>1.5599999999999999E-2</v>
      </c>
      <c r="J84" s="447"/>
    </row>
    <row r="85" spans="1:10" ht="13.15" customHeight="1">
      <c r="A85" s="437">
        <v>28</v>
      </c>
      <c r="B85" s="440" t="s">
        <v>26</v>
      </c>
      <c r="C85" s="440" t="s">
        <v>68</v>
      </c>
      <c r="D85" s="440" t="s">
        <v>69</v>
      </c>
      <c r="E85" s="298" t="s">
        <v>451</v>
      </c>
      <c r="F85" s="308">
        <v>1</v>
      </c>
      <c r="G85" s="19">
        <v>150</v>
      </c>
      <c r="H85" s="19">
        <v>120</v>
      </c>
      <c r="I85" s="22">
        <f t="shared" si="2"/>
        <v>1.7999999999999999E-2</v>
      </c>
      <c r="J85" s="445">
        <f>I85+I86+I87</f>
        <v>0.2676</v>
      </c>
    </row>
    <row r="86" spans="1:10" ht="13.15" customHeight="1">
      <c r="A86" s="438"/>
      <c r="B86" s="441"/>
      <c r="C86" s="441"/>
      <c r="D86" s="441"/>
      <c r="E86" s="303" t="s">
        <v>450</v>
      </c>
      <c r="F86" s="308">
        <v>0</v>
      </c>
      <c r="G86" s="19">
        <v>150</v>
      </c>
      <c r="H86" s="19">
        <v>120</v>
      </c>
      <c r="I86" s="22">
        <f t="shared" si="2"/>
        <v>0</v>
      </c>
      <c r="J86" s="446"/>
    </row>
    <row r="87" spans="1:10" ht="13.15" customHeight="1">
      <c r="A87" s="439"/>
      <c r="B87" s="442"/>
      <c r="C87" s="442"/>
      <c r="D87" s="442"/>
      <c r="E87" s="306" t="s">
        <v>449</v>
      </c>
      <c r="F87" s="308">
        <v>16</v>
      </c>
      <c r="G87" s="19">
        <v>130</v>
      </c>
      <c r="H87" s="19">
        <v>120</v>
      </c>
      <c r="I87" s="22">
        <f t="shared" si="2"/>
        <v>0.24959999999999999</v>
      </c>
      <c r="J87" s="447"/>
    </row>
    <row r="88" spans="1:10" ht="13.15" customHeight="1">
      <c r="A88" s="437">
        <v>29</v>
      </c>
      <c r="B88" s="440" t="s">
        <v>27</v>
      </c>
      <c r="C88" s="440" t="s">
        <v>68</v>
      </c>
      <c r="D88" s="440" t="s">
        <v>69</v>
      </c>
      <c r="E88" s="298" t="s">
        <v>451</v>
      </c>
      <c r="F88" s="308">
        <v>76</v>
      </c>
      <c r="G88" s="19">
        <v>150</v>
      </c>
      <c r="H88" s="19">
        <v>120</v>
      </c>
      <c r="I88" s="22">
        <f t="shared" si="2"/>
        <v>1.3680000000000001</v>
      </c>
      <c r="J88" s="445">
        <f>I88+I89+I90</f>
        <v>1.3680000000000001</v>
      </c>
    </row>
    <row r="89" spans="1:10" ht="13.15" customHeight="1">
      <c r="A89" s="438"/>
      <c r="B89" s="441"/>
      <c r="C89" s="441"/>
      <c r="D89" s="441"/>
      <c r="E89" s="303" t="s">
        <v>450</v>
      </c>
      <c r="F89" s="308">
        <v>0</v>
      </c>
      <c r="G89" s="19">
        <v>150</v>
      </c>
      <c r="H89" s="19">
        <v>120</v>
      </c>
      <c r="I89" s="22">
        <f t="shared" si="2"/>
        <v>0</v>
      </c>
      <c r="J89" s="446"/>
    </row>
    <row r="90" spans="1:10" ht="13.15" customHeight="1">
      <c r="A90" s="439"/>
      <c r="B90" s="442"/>
      <c r="C90" s="442"/>
      <c r="D90" s="442"/>
      <c r="E90" s="306" t="s">
        <v>449</v>
      </c>
      <c r="F90" s="308">
        <v>0</v>
      </c>
      <c r="G90" s="19">
        <v>130</v>
      </c>
      <c r="H90" s="19">
        <v>120</v>
      </c>
      <c r="I90" s="22">
        <f t="shared" si="2"/>
        <v>0</v>
      </c>
      <c r="J90" s="447"/>
    </row>
    <row r="91" spans="1:10" ht="13.15" customHeight="1">
      <c r="A91" s="437">
        <v>30</v>
      </c>
      <c r="B91" s="440" t="s">
        <v>79</v>
      </c>
      <c r="C91" s="440" t="s">
        <v>68</v>
      </c>
      <c r="D91" s="440" t="s">
        <v>69</v>
      </c>
      <c r="E91" s="298" t="s">
        <v>451</v>
      </c>
      <c r="F91" s="308">
        <v>6</v>
      </c>
      <c r="G91" s="19">
        <v>150</v>
      </c>
      <c r="H91" s="19">
        <v>120</v>
      </c>
      <c r="I91" s="22">
        <f t="shared" si="2"/>
        <v>0.108</v>
      </c>
      <c r="J91" s="445">
        <f>I91+I92+I93</f>
        <v>1.3763999999999998</v>
      </c>
    </row>
    <row r="92" spans="1:10" ht="15">
      <c r="A92" s="438"/>
      <c r="B92" s="441"/>
      <c r="C92" s="441"/>
      <c r="D92" s="441"/>
      <c r="E92" s="303" t="s">
        <v>450</v>
      </c>
      <c r="F92" s="308">
        <v>2</v>
      </c>
      <c r="G92" s="19">
        <v>150</v>
      </c>
      <c r="H92" s="19">
        <v>120</v>
      </c>
      <c r="I92" s="22">
        <f t="shared" si="2"/>
        <v>3.5999999999999997E-2</v>
      </c>
      <c r="J92" s="446"/>
    </row>
    <row r="93" spans="1:10" ht="15">
      <c r="A93" s="439"/>
      <c r="B93" s="442"/>
      <c r="C93" s="442"/>
      <c r="D93" s="442"/>
      <c r="E93" s="306" t="s">
        <v>449</v>
      </c>
      <c r="F93" s="308">
        <v>79</v>
      </c>
      <c r="G93" s="19">
        <v>130</v>
      </c>
      <c r="H93" s="19">
        <v>120</v>
      </c>
      <c r="I93" s="22">
        <f t="shared" si="2"/>
        <v>1.2323999999999999</v>
      </c>
      <c r="J93" s="447"/>
    </row>
    <row r="94" spans="1:10" ht="15">
      <c r="A94" s="437">
        <v>31</v>
      </c>
      <c r="B94" s="440" t="s">
        <v>29</v>
      </c>
      <c r="C94" s="440" t="s">
        <v>68</v>
      </c>
      <c r="D94" s="440" t="s">
        <v>69</v>
      </c>
      <c r="E94" s="298" t="s">
        <v>451</v>
      </c>
      <c r="F94" s="308">
        <v>4</v>
      </c>
      <c r="G94" s="19">
        <v>150</v>
      </c>
      <c r="H94" s="19">
        <v>120</v>
      </c>
      <c r="I94" s="22">
        <f t="shared" si="2"/>
        <v>7.1999999999999995E-2</v>
      </c>
      <c r="J94" s="445">
        <f>I94+I95+I96</f>
        <v>1.3115999999999999</v>
      </c>
    </row>
    <row r="95" spans="1:10" ht="15">
      <c r="A95" s="438"/>
      <c r="B95" s="441"/>
      <c r="C95" s="441"/>
      <c r="D95" s="441"/>
      <c r="E95" s="303" t="s">
        <v>450</v>
      </c>
      <c r="F95" s="308">
        <v>3</v>
      </c>
      <c r="G95" s="19">
        <v>150</v>
      </c>
      <c r="H95" s="19">
        <v>120</v>
      </c>
      <c r="I95" s="22">
        <f t="shared" si="2"/>
        <v>5.3999999999999999E-2</v>
      </c>
      <c r="J95" s="446"/>
    </row>
    <row r="96" spans="1:10" ht="15">
      <c r="A96" s="439"/>
      <c r="B96" s="442"/>
      <c r="C96" s="442"/>
      <c r="D96" s="442"/>
      <c r="E96" s="306" t="s">
        <v>449</v>
      </c>
      <c r="F96" s="308">
        <v>76</v>
      </c>
      <c r="G96" s="19">
        <v>130</v>
      </c>
      <c r="H96" s="19">
        <v>120</v>
      </c>
      <c r="I96" s="22">
        <f t="shared" si="2"/>
        <v>1.1856</v>
      </c>
      <c r="J96" s="447"/>
    </row>
    <row r="97" spans="1:10" ht="15">
      <c r="A97" s="437">
        <v>32</v>
      </c>
      <c r="B97" s="440" t="s">
        <v>30</v>
      </c>
      <c r="C97" s="440" t="s">
        <v>68</v>
      </c>
      <c r="D97" s="440" t="s">
        <v>69</v>
      </c>
      <c r="E97" s="298" t="s">
        <v>451</v>
      </c>
      <c r="F97" s="308">
        <v>142</v>
      </c>
      <c r="G97" s="19">
        <v>150</v>
      </c>
      <c r="H97" s="19">
        <v>120</v>
      </c>
      <c r="I97" s="22">
        <f t="shared" si="2"/>
        <v>2.556</v>
      </c>
      <c r="J97" s="445">
        <f>I97+I98+I99</f>
        <v>3.0924</v>
      </c>
    </row>
    <row r="98" spans="1:10" ht="15">
      <c r="A98" s="438"/>
      <c r="B98" s="441"/>
      <c r="C98" s="441"/>
      <c r="D98" s="441"/>
      <c r="E98" s="303" t="s">
        <v>450</v>
      </c>
      <c r="F98" s="308">
        <v>22</v>
      </c>
      <c r="G98" s="19">
        <v>150</v>
      </c>
      <c r="H98" s="19">
        <v>120</v>
      </c>
      <c r="I98" s="22">
        <f t="shared" si="2"/>
        <v>0.39600000000000002</v>
      </c>
      <c r="J98" s="446"/>
    </row>
    <row r="99" spans="1:10" ht="15">
      <c r="A99" s="439"/>
      <c r="B99" s="442"/>
      <c r="C99" s="442"/>
      <c r="D99" s="442"/>
      <c r="E99" s="306" t="s">
        <v>449</v>
      </c>
      <c r="F99" s="308">
        <v>9</v>
      </c>
      <c r="G99" s="19">
        <v>130</v>
      </c>
      <c r="H99" s="19">
        <v>120</v>
      </c>
      <c r="I99" s="22">
        <f t="shared" si="2"/>
        <v>0.1404</v>
      </c>
      <c r="J99" s="447"/>
    </row>
    <row r="100" spans="1:10" ht="15">
      <c r="A100" s="437">
        <v>33</v>
      </c>
      <c r="B100" s="440" t="s">
        <v>31</v>
      </c>
      <c r="C100" s="440" t="s">
        <v>68</v>
      </c>
      <c r="D100" s="440" t="s">
        <v>69</v>
      </c>
      <c r="E100" s="298" t="s">
        <v>451</v>
      </c>
      <c r="F100" s="308">
        <v>20</v>
      </c>
      <c r="G100" s="19">
        <v>150</v>
      </c>
      <c r="H100" s="19">
        <v>120</v>
      </c>
      <c r="I100" s="22">
        <f t="shared" ref="I100:I131" si="3">F100*G100*H100/1000000</f>
        <v>0.36</v>
      </c>
      <c r="J100" s="445">
        <f>I100+I101+I102</f>
        <v>1.056</v>
      </c>
    </row>
    <row r="101" spans="1:10" ht="15">
      <c r="A101" s="438"/>
      <c r="B101" s="441"/>
      <c r="C101" s="441"/>
      <c r="D101" s="441"/>
      <c r="E101" s="303" t="s">
        <v>450</v>
      </c>
      <c r="F101" s="308">
        <v>4</v>
      </c>
      <c r="G101" s="19">
        <v>150</v>
      </c>
      <c r="H101" s="19">
        <v>120</v>
      </c>
      <c r="I101" s="22">
        <f t="shared" si="3"/>
        <v>7.1999999999999995E-2</v>
      </c>
      <c r="J101" s="446"/>
    </row>
    <row r="102" spans="1:10" ht="15">
      <c r="A102" s="439"/>
      <c r="B102" s="442"/>
      <c r="C102" s="442"/>
      <c r="D102" s="442"/>
      <c r="E102" s="306" t="s">
        <v>449</v>
      </c>
      <c r="F102" s="308">
        <v>40</v>
      </c>
      <c r="G102" s="19">
        <v>130</v>
      </c>
      <c r="H102" s="19">
        <v>120</v>
      </c>
      <c r="I102" s="22">
        <f t="shared" si="3"/>
        <v>0.624</v>
      </c>
      <c r="J102" s="447"/>
    </row>
    <row r="103" spans="1:10" ht="15">
      <c r="A103" s="437">
        <v>34</v>
      </c>
      <c r="B103" s="440" t="s">
        <v>32</v>
      </c>
      <c r="C103" s="440" t="s">
        <v>68</v>
      </c>
      <c r="D103" s="440" t="s">
        <v>69</v>
      </c>
      <c r="E103" s="298" t="s">
        <v>451</v>
      </c>
      <c r="F103" s="308">
        <v>28</v>
      </c>
      <c r="G103" s="19">
        <v>150</v>
      </c>
      <c r="H103" s="19">
        <v>120</v>
      </c>
      <c r="I103" s="22">
        <f t="shared" si="3"/>
        <v>0.504</v>
      </c>
      <c r="J103" s="445">
        <f>I103+I104+I105</f>
        <v>0.6048</v>
      </c>
    </row>
    <row r="104" spans="1:10" ht="15">
      <c r="A104" s="438"/>
      <c r="B104" s="441"/>
      <c r="C104" s="441"/>
      <c r="D104" s="441"/>
      <c r="E104" s="303" t="s">
        <v>450</v>
      </c>
      <c r="F104" s="308">
        <v>3</v>
      </c>
      <c r="G104" s="19">
        <v>150</v>
      </c>
      <c r="H104" s="19">
        <v>120</v>
      </c>
      <c r="I104" s="22">
        <f t="shared" si="3"/>
        <v>5.3999999999999999E-2</v>
      </c>
      <c r="J104" s="446"/>
    </row>
    <row r="105" spans="1:10" ht="15">
      <c r="A105" s="439"/>
      <c r="B105" s="442"/>
      <c r="C105" s="442"/>
      <c r="D105" s="442"/>
      <c r="E105" s="306" t="s">
        <v>449</v>
      </c>
      <c r="F105" s="308">
        <v>3</v>
      </c>
      <c r="G105" s="19">
        <v>130</v>
      </c>
      <c r="H105" s="19">
        <v>120</v>
      </c>
      <c r="I105" s="22">
        <f t="shared" si="3"/>
        <v>4.6800000000000001E-2</v>
      </c>
      <c r="J105" s="447"/>
    </row>
    <row r="106" spans="1:10" ht="15">
      <c r="A106" s="437">
        <v>35</v>
      </c>
      <c r="B106" s="440" t="s">
        <v>33</v>
      </c>
      <c r="C106" s="440" t="s">
        <v>68</v>
      </c>
      <c r="D106" s="440" t="s">
        <v>69</v>
      </c>
      <c r="E106" s="298" t="s">
        <v>451</v>
      </c>
      <c r="F106" s="308">
        <v>0</v>
      </c>
      <c r="G106" s="19">
        <v>150</v>
      </c>
      <c r="H106" s="19">
        <v>120</v>
      </c>
      <c r="I106" s="22">
        <f t="shared" si="3"/>
        <v>0</v>
      </c>
      <c r="J106" s="445">
        <f>I106+I107+I108</f>
        <v>1.7999999999999999E-2</v>
      </c>
    </row>
    <row r="107" spans="1:10" ht="15">
      <c r="A107" s="438"/>
      <c r="B107" s="441"/>
      <c r="C107" s="441"/>
      <c r="D107" s="441"/>
      <c r="E107" s="303" t="s">
        <v>450</v>
      </c>
      <c r="F107" s="308">
        <v>1</v>
      </c>
      <c r="G107" s="19">
        <v>150</v>
      </c>
      <c r="H107" s="19">
        <v>120</v>
      </c>
      <c r="I107" s="22">
        <f t="shared" si="3"/>
        <v>1.7999999999999999E-2</v>
      </c>
      <c r="J107" s="446"/>
    </row>
    <row r="108" spans="1:10" ht="15">
      <c r="A108" s="439"/>
      <c r="B108" s="442"/>
      <c r="C108" s="442"/>
      <c r="D108" s="442"/>
      <c r="E108" s="306" t="s">
        <v>449</v>
      </c>
      <c r="F108" s="308">
        <v>0</v>
      </c>
      <c r="G108" s="19">
        <v>130</v>
      </c>
      <c r="H108" s="19">
        <v>120</v>
      </c>
      <c r="I108" s="22">
        <f t="shared" si="3"/>
        <v>0</v>
      </c>
      <c r="J108" s="447"/>
    </row>
    <row r="109" spans="1:10" ht="15">
      <c r="A109" s="437">
        <v>36</v>
      </c>
      <c r="B109" s="440" t="s">
        <v>34</v>
      </c>
      <c r="C109" s="440" t="s">
        <v>68</v>
      </c>
      <c r="D109" s="440" t="s">
        <v>69</v>
      </c>
      <c r="E109" s="298" t="s">
        <v>451</v>
      </c>
      <c r="F109" s="308">
        <v>7</v>
      </c>
      <c r="G109" s="19">
        <v>150</v>
      </c>
      <c r="H109" s="19">
        <v>120</v>
      </c>
      <c r="I109" s="22">
        <f t="shared" si="3"/>
        <v>0.126</v>
      </c>
      <c r="J109" s="445">
        <f>I109+I110+I111</f>
        <v>0.72839999999999994</v>
      </c>
    </row>
    <row r="110" spans="1:10" ht="15">
      <c r="A110" s="438"/>
      <c r="B110" s="441"/>
      <c r="C110" s="441"/>
      <c r="D110" s="441"/>
      <c r="E110" s="303" t="s">
        <v>450</v>
      </c>
      <c r="F110" s="308">
        <v>4</v>
      </c>
      <c r="G110" s="19">
        <v>150</v>
      </c>
      <c r="H110" s="19">
        <v>120</v>
      </c>
      <c r="I110" s="22">
        <f t="shared" si="3"/>
        <v>7.1999999999999995E-2</v>
      </c>
      <c r="J110" s="446"/>
    </row>
    <row r="111" spans="1:10" ht="15">
      <c r="A111" s="439"/>
      <c r="B111" s="442"/>
      <c r="C111" s="442"/>
      <c r="D111" s="442"/>
      <c r="E111" s="306" t="s">
        <v>449</v>
      </c>
      <c r="F111" s="308">
        <v>34</v>
      </c>
      <c r="G111" s="19">
        <v>130</v>
      </c>
      <c r="H111" s="19">
        <v>120</v>
      </c>
      <c r="I111" s="22">
        <f t="shared" si="3"/>
        <v>0.53039999999999998</v>
      </c>
      <c r="J111" s="447"/>
    </row>
    <row r="112" spans="1:10" ht="15">
      <c r="A112" s="437">
        <v>37</v>
      </c>
      <c r="B112" s="440" t="s">
        <v>35</v>
      </c>
      <c r="C112" s="440" t="s">
        <v>68</v>
      </c>
      <c r="D112" s="440" t="s">
        <v>69</v>
      </c>
      <c r="E112" s="298" t="s">
        <v>451</v>
      </c>
      <c r="F112" s="308">
        <v>6</v>
      </c>
      <c r="G112" s="19">
        <v>150</v>
      </c>
      <c r="H112" s="19">
        <v>120</v>
      </c>
      <c r="I112" s="22">
        <f t="shared" si="3"/>
        <v>0.108</v>
      </c>
      <c r="J112" s="445">
        <f>I112+I113+I114</f>
        <v>0.108</v>
      </c>
    </row>
    <row r="113" spans="1:10" ht="15">
      <c r="A113" s="438"/>
      <c r="B113" s="441"/>
      <c r="C113" s="441"/>
      <c r="D113" s="441"/>
      <c r="E113" s="303" t="s">
        <v>450</v>
      </c>
      <c r="F113" s="308">
        <v>0</v>
      </c>
      <c r="G113" s="19">
        <v>150</v>
      </c>
      <c r="H113" s="19">
        <v>120</v>
      </c>
      <c r="I113" s="22">
        <f t="shared" si="3"/>
        <v>0</v>
      </c>
      <c r="J113" s="446"/>
    </row>
    <row r="114" spans="1:10" ht="15">
      <c r="A114" s="439"/>
      <c r="B114" s="442"/>
      <c r="C114" s="442"/>
      <c r="D114" s="442"/>
      <c r="E114" s="306" t="s">
        <v>449</v>
      </c>
      <c r="F114" s="308">
        <v>0</v>
      </c>
      <c r="G114" s="19">
        <v>130</v>
      </c>
      <c r="H114" s="19">
        <v>120</v>
      </c>
      <c r="I114" s="22">
        <f t="shared" si="3"/>
        <v>0</v>
      </c>
      <c r="J114" s="447"/>
    </row>
    <row r="115" spans="1:10" ht="15">
      <c r="A115" s="437">
        <v>38</v>
      </c>
      <c r="B115" s="440" t="s">
        <v>36</v>
      </c>
      <c r="C115" s="440" t="s">
        <v>68</v>
      </c>
      <c r="D115" s="440" t="s">
        <v>69</v>
      </c>
      <c r="E115" s="298" t="s">
        <v>451</v>
      </c>
      <c r="F115" s="308">
        <v>4</v>
      </c>
      <c r="G115" s="19">
        <v>150</v>
      </c>
      <c r="H115" s="19">
        <v>120</v>
      </c>
      <c r="I115" s="22">
        <f t="shared" si="3"/>
        <v>7.1999999999999995E-2</v>
      </c>
      <c r="J115" s="445">
        <f>I115+I116+I117</f>
        <v>0.1212</v>
      </c>
    </row>
    <row r="116" spans="1:10" ht="15">
      <c r="A116" s="438"/>
      <c r="B116" s="441"/>
      <c r="C116" s="441"/>
      <c r="D116" s="441"/>
      <c r="E116" s="303" t="s">
        <v>450</v>
      </c>
      <c r="F116" s="308">
        <v>1</v>
      </c>
      <c r="G116" s="19">
        <v>150</v>
      </c>
      <c r="H116" s="19">
        <v>120</v>
      </c>
      <c r="I116" s="22">
        <f t="shared" si="3"/>
        <v>1.7999999999999999E-2</v>
      </c>
      <c r="J116" s="446"/>
    </row>
    <row r="117" spans="1:10" ht="15">
      <c r="A117" s="439"/>
      <c r="B117" s="442"/>
      <c r="C117" s="442"/>
      <c r="D117" s="442"/>
      <c r="E117" s="306" t="s">
        <v>449</v>
      </c>
      <c r="F117" s="308">
        <v>2</v>
      </c>
      <c r="G117" s="19">
        <v>130</v>
      </c>
      <c r="H117" s="19">
        <v>120</v>
      </c>
      <c r="I117" s="22">
        <f t="shared" si="3"/>
        <v>3.1199999999999999E-2</v>
      </c>
      <c r="J117" s="447"/>
    </row>
    <row r="118" spans="1:10" ht="15">
      <c r="A118" s="437">
        <v>39</v>
      </c>
      <c r="B118" s="440" t="s">
        <v>37</v>
      </c>
      <c r="C118" s="440" t="s">
        <v>68</v>
      </c>
      <c r="D118" s="440" t="s">
        <v>69</v>
      </c>
      <c r="E118" s="298" t="s">
        <v>451</v>
      </c>
      <c r="F118" s="308">
        <v>7</v>
      </c>
      <c r="G118" s="19">
        <v>150</v>
      </c>
      <c r="H118" s="19">
        <v>120</v>
      </c>
      <c r="I118" s="22">
        <f t="shared" si="3"/>
        <v>0.126</v>
      </c>
      <c r="J118" s="445">
        <f>I118+I119+I120</f>
        <v>1.0044</v>
      </c>
    </row>
    <row r="119" spans="1:10" ht="15">
      <c r="A119" s="438"/>
      <c r="B119" s="441"/>
      <c r="C119" s="441"/>
      <c r="D119" s="441"/>
      <c r="E119" s="303" t="s">
        <v>450</v>
      </c>
      <c r="F119" s="308">
        <v>2</v>
      </c>
      <c r="G119" s="19">
        <v>150</v>
      </c>
      <c r="H119" s="19">
        <v>120</v>
      </c>
      <c r="I119" s="22">
        <f t="shared" si="3"/>
        <v>3.5999999999999997E-2</v>
      </c>
      <c r="J119" s="446"/>
    </row>
    <row r="120" spans="1:10" ht="15">
      <c r="A120" s="439"/>
      <c r="B120" s="442"/>
      <c r="C120" s="442"/>
      <c r="D120" s="442"/>
      <c r="E120" s="306" t="s">
        <v>449</v>
      </c>
      <c r="F120" s="308">
        <v>54</v>
      </c>
      <c r="G120" s="19">
        <v>130</v>
      </c>
      <c r="H120" s="19">
        <v>120</v>
      </c>
      <c r="I120" s="22">
        <f t="shared" si="3"/>
        <v>0.84240000000000004</v>
      </c>
      <c r="J120" s="447"/>
    </row>
    <row r="121" spans="1:10" ht="15">
      <c r="A121" s="437">
        <v>40</v>
      </c>
      <c r="B121" s="440" t="s">
        <v>80</v>
      </c>
      <c r="C121" s="440" t="s">
        <v>68</v>
      </c>
      <c r="D121" s="440" t="s">
        <v>69</v>
      </c>
      <c r="E121" s="298" t="s">
        <v>451</v>
      </c>
      <c r="F121" s="308">
        <v>0</v>
      </c>
      <c r="G121" s="19">
        <v>150</v>
      </c>
      <c r="H121" s="19">
        <v>120</v>
      </c>
      <c r="I121" s="22">
        <f t="shared" si="3"/>
        <v>0</v>
      </c>
      <c r="J121" s="445">
        <f>I121+I122+I123</f>
        <v>0.10920000000000001</v>
      </c>
    </row>
    <row r="122" spans="1:10" ht="15">
      <c r="A122" s="438"/>
      <c r="B122" s="441"/>
      <c r="C122" s="441"/>
      <c r="D122" s="441"/>
      <c r="E122" s="303" t="s">
        <v>450</v>
      </c>
      <c r="F122" s="308">
        <v>0</v>
      </c>
      <c r="G122" s="19">
        <v>150</v>
      </c>
      <c r="H122" s="19">
        <v>120</v>
      </c>
      <c r="I122" s="22">
        <f t="shared" si="3"/>
        <v>0</v>
      </c>
      <c r="J122" s="446"/>
    </row>
    <row r="123" spans="1:10" ht="15">
      <c r="A123" s="439"/>
      <c r="B123" s="442"/>
      <c r="C123" s="442"/>
      <c r="D123" s="442"/>
      <c r="E123" s="306" t="s">
        <v>449</v>
      </c>
      <c r="F123" s="308">
        <v>7</v>
      </c>
      <c r="G123" s="19">
        <v>130</v>
      </c>
      <c r="H123" s="19">
        <v>120</v>
      </c>
      <c r="I123" s="22">
        <f t="shared" si="3"/>
        <v>0.10920000000000001</v>
      </c>
      <c r="J123" s="447"/>
    </row>
    <row r="124" spans="1:10" ht="15">
      <c r="A124" s="437">
        <v>41</v>
      </c>
      <c r="B124" s="440" t="s">
        <v>39</v>
      </c>
      <c r="C124" s="440" t="s">
        <v>68</v>
      </c>
      <c r="D124" s="440" t="s">
        <v>69</v>
      </c>
      <c r="E124" s="298" t="s">
        <v>451</v>
      </c>
      <c r="F124" s="308">
        <v>29</v>
      </c>
      <c r="G124" s="19">
        <v>150</v>
      </c>
      <c r="H124" s="19">
        <v>120</v>
      </c>
      <c r="I124" s="22">
        <f t="shared" si="3"/>
        <v>0.52200000000000002</v>
      </c>
      <c r="J124" s="445">
        <f>I124+I125+I126</f>
        <v>0.57600000000000007</v>
      </c>
    </row>
    <row r="125" spans="1:10" ht="15">
      <c r="A125" s="438"/>
      <c r="B125" s="441"/>
      <c r="C125" s="441"/>
      <c r="D125" s="441"/>
      <c r="E125" s="303" t="s">
        <v>450</v>
      </c>
      <c r="F125" s="308">
        <v>3</v>
      </c>
      <c r="G125" s="19">
        <v>150</v>
      </c>
      <c r="H125" s="19">
        <v>120</v>
      </c>
      <c r="I125" s="22">
        <f t="shared" si="3"/>
        <v>5.3999999999999999E-2</v>
      </c>
      <c r="J125" s="446"/>
    </row>
    <row r="126" spans="1:10" ht="15">
      <c r="A126" s="439"/>
      <c r="B126" s="442"/>
      <c r="C126" s="442"/>
      <c r="D126" s="442"/>
      <c r="E126" s="306" t="s">
        <v>449</v>
      </c>
      <c r="F126" s="308">
        <v>0</v>
      </c>
      <c r="G126" s="19">
        <v>130</v>
      </c>
      <c r="H126" s="19">
        <v>120</v>
      </c>
      <c r="I126" s="22">
        <f t="shared" si="3"/>
        <v>0</v>
      </c>
      <c r="J126" s="447"/>
    </row>
    <row r="127" spans="1:10" ht="15">
      <c r="A127" s="437">
        <v>42</v>
      </c>
      <c r="B127" s="440" t="s">
        <v>40</v>
      </c>
      <c r="C127" s="440" t="s">
        <v>68</v>
      </c>
      <c r="D127" s="440" t="s">
        <v>69</v>
      </c>
      <c r="E127" s="298" t="s">
        <v>451</v>
      </c>
      <c r="F127" s="308">
        <v>3</v>
      </c>
      <c r="G127" s="19">
        <v>150</v>
      </c>
      <c r="H127" s="19">
        <v>120</v>
      </c>
      <c r="I127" s="22">
        <f t="shared" si="3"/>
        <v>5.3999999999999999E-2</v>
      </c>
      <c r="J127" s="445">
        <f>I127+I128+I129</f>
        <v>0.33479999999999999</v>
      </c>
    </row>
    <row r="128" spans="1:10" ht="15">
      <c r="A128" s="438"/>
      <c r="B128" s="441"/>
      <c r="C128" s="441"/>
      <c r="D128" s="441"/>
      <c r="E128" s="303" t="s">
        <v>450</v>
      </c>
      <c r="F128" s="308">
        <v>0</v>
      </c>
      <c r="G128" s="19">
        <v>150</v>
      </c>
      <c r="H128" s="19">
        <v>120</v>
      </c>
      <c r="I128" s="22">
        <f t="shared" si="3"/>
        <v>0</v>
      </c>
      <c r="J128" s="446"/>
    </row>
    <row r="129" spans="1:10" ht="15">
      <c r="A129" s="439"/>
      <c r="B129" s="442"/>
      <c r="C129" s="442"/>
      <c r="D129" s="442"/>
      <c r="E129" s="306" t="s">
        <v>449</v>
      </c>
      <c r="F129" s="308">
        <v>18</v>
      </c>
      <c r="G129" s="19">
        <v>130</v>
      </c>
      <c r="H129" s="19">
        <v>120</v>
      </c>
      <c r="I129" s="22">
        <f t="shared" si="3"/>
        <v>0.28079999999999999</v>
      </c>
      <c r="J129" s="447"/>
    </row>
    <row r="130" spans="1:10" ht="15">
      <c r="A130" s="437">
        <v>43</v>
      </c>
      <c r="B130" s="440" t="s">
        <v>41</v>
      </c>
      <c r="C130" s="440" t="s">
        <v>68</v>
      </c>
      <c r="D130" s="440" t="s">
        <v>69</v>
      </c>
      <c r="E130" s="298" t="s">
        <v>451</v>
      </c>
      <c r="F130" s="308">
        <v>119</v>
      </c>
      <c r="G130" s="19">
        <v>150</v>
      </c>
      <c r="H130" s="19">
        <v>120</v>
      </c>
      <c r="I130" s="22">
        <f t="shared" si="3"/>
        <v>2.1419999999999999</v>
      </c>
      <c r="J130" s="445">
        <f>I130+I131+I132</f>
        <v>2.718</v>
      </c>
    </row>
    <row r="131" spans="1:10" ht="15">
      <c r="A131" s="438"/>
      <c r="B131" s="441"/>
      <c r="C131" s="441"/>
      <c r="D131" s="441"/>
      <c r="E131" s="303" t="s">
        <v>450</v>
      </c>
      <c r="F131" s="308">
        <v>32</v>
      </c>
      <c r="G131" s="19">
        <v>150</v>
      </c>
      <c r="H131" s="19">
        <v>120</v>
      </c>
      <c r="I131" s="22">
        <f t="shared" si="3"/>
        <v>0.57599999999999996</v>
      </c>
      <c r="J131" s="446"/>
    </row>
    <row r="132" spans="1:10" ht="15">
      <c r="A132" s="439"/>
      <c r="B132" s="442"/>
      <c r="C132" s="442"/>
      <c r="D132" s="442"/>
      <c r="E132" s="306" t="s">
        <v>449</v>
      </c>
      <c r="F132" s="308">
        <v>0</v>
      </c>
      <c r="G132" s="19">
        <v>130</v>
      </c>
      <c r="H132" s="19">
        <v>120</v>
      </c>
      <c r="I132" s="22">
        <f>F132*G132*H132/1000000</f>
        <v>0</v>
      </c>
      <c r="J132" s="447"/>
    </row>
    <row r="133" spans="1:10" ht="15">
      <c r="A133" s="437">
        <v>44</v>
      </c>
      <c r="B133" s="440" t="s">
        <v>42</v>
      </c>
      <c r="C133" s="440" t="s">
        <v>68</v>
      </c>
      <c r="D133" s="440" t="s">
        <v>69</v>
      </c>
      <c r="E133" s="298" t="s">
        <v>451</v>
      </c>
      <c r="F133" s="308">
        <v>17</v>
      </c>
      <c r="G133" s="19">
        <v>150</v>
      </c>
      <c r="H133" s="19">
        <v>120</v>
      </c>
      <c r="I133" s="22">
        <f>F133*G133*H133/1000000</f>
        <v>0.30599999999999999</v>
      </c>
      <c r="J133" s="445">
        <f>I133+I134+I135</f>
        <v>0.37080000000000002</v>
      </c>
    </row>
    <row r="134" spans="1:10" ht="15">
      <c r="A134" s="438"/>
      <c r="B134" s="441"/>
      <c r="C134" s="441"/>
      <c r="D134" s="441"/>
      <c r="E134" s="303" t="s">
        <v>450</v>
      </c>
      <c r="F134" s="308">
        <v>1</v>
      </c>
      <c r="G134" s="19">
        <v>150</v>
      </c>
      <c r="H134" s="19">
        <v>120</v>
      </c>
      <c r="I134" s="22">
        <f>F134*G134*H134/1000000</f>
        <v>1.7999999999999999E-2</v>
      </c>
      <c r="J134" s="446"/>
    </row>
    <row r="135" spans="1:10" ht="15">
      <c r="A135" s="439"/>
      <c r="B135" s="442"/>
      <c r="C135" s="442"/>
      <c r="D135" s="442"/>
      <c r="E135" s="306" t="s">
        <v>449</v>
      </c>
      <c r="F135" s="308">
        <v>3</v>
      </c>
      <c r="G135" s="19">
        <v>130</v>
      </c>
      <c r="H135" s="19">
        <v>120</v>
      </c>
      <c r="I135" s="22">
        <f>F135*G135*H135/1000000</f>
        <v>4.6800000000000001E-2</v>
      </c>
      <c r="J135" s="447"/>
    </row>
    <row r="136" spans="1:10">
      <c r="F136" s="4">
        <f>SUM(F4:F135)</f>
        <v>2427</v>
      </c>
      <c r="J136" s="4">
        <f>SUM(J4:J135)</f>
        <v>41.530799999999985</v>
      </c>
    </row>
    <row r="137" spans="1:10" ht="39.75" customHeight="1">
      <c r="A137" s="433" t="s">
        <v>116</v>
      </c>
      <c r="B137" s="433"/>
      <c r="C137" s="433"/>
      <c r="D137" s="433"/>
      <c r="E137" s="433"/>
      <c r="F137" s="433"/>
      <c r="G137" s="433"/>
      <c r="H137" s="433"/>
      <c r="I137" s="433"/>
      <c r="J137" s="433"/>
    </row>
  </sheetData>
  <autoFilter ref="A3:L91"/>
  <mergeCells count="223">
    <mergeCell ref="A133:A135"/>
    <mergeCell ref="B133:B135"/>
    <mergeCell ref="C133:C135"/>
    <mergeCell ref="D133:D135"/>
    <mergeCell ref="A127:A129"/>
    <mergeCell ref="B127:B129"/>
    <mergeCell ref="C127:C129"/>
    <mergeCell ref="D127:D129"/>
    <mergeCell ref="A130:A132"/>
    <mergeCell ref="B130:B132"/>
    <mergeCell ref="C130:C132"/>
    <mergeCell ref="D130:D132"/>
    <mergeCell ref="A121:A123"/>
    <mergeCell ref="B121:B123"/>
    <mergeCell ref="C121:C123"/>
    <mergeCell ref="D121:D123"/>
    <mergeCell ref="A124:A126"/>
    <mergeCell ref="B124:B126"/>
    <mergeCell ref="C124:C126"/>
    <mergeCell ref="D124:D126"/>
    <mergeCell ref="A115:A117"/>
    <mergeCell ref="B115:B117"/>
    <mergeCell ref="C115:C117"/>
    <mergeCell ref="D115:D117"/>
    <mergeCell ref="A118:A120"/>
    <mergeCell ref="B118:B120"/>
    <mergeCell ref="C118:C120"/>
    <mergeCell ref="D118:D120"/>
    <mergeCell ref="A109:A111"/>
    <mergeCell ref="B109:B111"/>
    <mergeCell ref="C109:C111"/>
    <mergeCell ref="D109:D111"/>
    <mergeCell ref="A112:A114"/>
    <mergeCell ref="B112:B114"/>
    <mergeCell ref="C112:C114"/>
    <mergeCell ref="D112:D114"/>
    <mergeCell ref="A103:A105"/>
    <mergeCell ref="B103:B105"/>
    <mergeCell ref="C103:C105"/>
    <mergeCell ref="D103:D105"/>
    <mergeCell ref="A106:A108"/>
    <mergeCell ref="B106:B108"/>
    <mergeCell ref="C106:C108"/>
    <mergeCell ref="D106:D108"/>
    <mergeCell ref="A97:A99"/>
    <mergeCell ref="B97:B99"/>
    <mergeCell ref="C97:C99"/>
    <mergeCell ref="D97:D99"/>
    <mergeCell ref="A100:A102"/>
    <mergeCell ref="B100:B102"/>
    <mergeCell ref="C100:C102"/>
    <mergeCell ref="D100:D102"/>
    <mergeCell ref="A94:A96"/>
    <mergeCell ref="B94:B96"/>
    <mergeCell ref="C94:C96"/>
    <mergeCell ref="D94:D96"/>
    <mergeCell ref="C91:C93"/>
    <mergeCell ref="A88:A90"/>
    <mergeCell ref="B91:B93"/>
    <mergeCell ref="A79:A81"/>
    <mergeCell ref="B79:B81"/>
    <mergeCell ref="C79:C81"/>
    <mergeCell ref="D79:D81"/>
    <mergeCell ref="C85:C87"/>
    <mergeCell ref="D85:D87"/>
    <mergeCell ref="A82:A84"/>
    <mergeCell ref="B82:B84"/>
    <mergeCell ref="A85:A87"/>
    <mergeCell ref="B85:B87"/>
    <mergeCell ref="B73:B75"/>
    <mergeCell ref="C73:C75"/>
    <mergeCell ref="D73:D75"/>
    <mergeCell ref="C76:C78"/>
    <mergeCell ref="D76:D78"/>
    <mergeCell ref="A76:A78"/>
    <mergeCell ref="B76:B78"/>
    <mergeCell ref="A64:A66"/>
    <mergeCell ref="B64:B66"/>
    <mergeCell ref="C64:C66"/>
    <mergeCell ref="D64:D66"/>
    <mergeCell ref="A61:A63"/>
    <mergeCell ref="C70:C72"/>
    <mergeCell ref="D70:D72"/>
    <mergeCell ref="A49:A51"/>
    <mergeCell ref="B49:B51"/>
    <mergeCell ref="C49:C51"/>
    <mergeCell ref="D49:D51"/>
    <mergeCell ref="C52:C54"/>
    <mergeCell ref="D52:D54"/>
    <mergeCell ref="B52:B54"/>
    <mergeCell ref="A40:A42"/>
    <mergeCell ref="B40:B42"/>
    <mergeCell ref="C40:C42"/>
    <mergeCell ref="D40:D42"/>
    <mergeCell ref="C46:C48"/>
    <mergeCell ref="D46:D48"/>
    <mergeCell ref="A43:A45"/>
    <mergeCell ref="B43:B45"/>
    <mergeCell ref="C43:C45"/>
    <mergeCell ref="D43:D45"/>
    <mergeCell ref="A37:A39"/>
    <mergeCell ref="B37:B39"/>
    <mergeCell ref="C37:C39"/>
    <mergeCell ref="D37:D39"/>
    <mergeCell ref="A34:A36"/>
    <mergeCell ref="B34:B36"/>
    <mergeCell ref="C34:C36"/>
    <mergeCell ref="D34:D36"/>
    <mergeCell ref="A22:A24"/>
    <mergeCell ref="C28:C30"/>
    <mergeCell ref="D28:D30"/>
    <mergeCell ref="A28:A30"/>
    <mergeCell ref="B28:B30"/>
    <mergeCell ref="A31:A33"/>
    <mergeCell ref="B31:B33"/>
    <mergeCell ref="C31:C33"/>
    <mergeCell ref="D31:D33"/>
    <mergeCell ref="A25:A27"/>
    <mergeCell ref="B13:B15"/>
    <mergeCell ref="C13:C15"/>
    <mergeCell ref="D13:D15"/>
    <mergeCell ref="A16:A18"/>
    <mergeCell ref="B16:B18"/>
    <mergeCell ref="C16:C18"/>
    <mergeCell ref="D16:D18"/>
    <mergeCell ref="A4:A6"/>
    <mergeCell ref="B4:B6"/>
    <mergeCell ref="C4:C6"/>
    <mergeCell ref="D4:D6"/>
    <mergeCell ref="A7:A9"/>
    <mergeCell ref="B7:B9"/>
    <mergeCell ref="C7:C9"/>
    <mergeCell ref="D7:D9"/>
    <mergeCell ref="A10:A12"/>
    <mergeCell ref="A1:B1"/>
    <mergeCell ref="C1:J1"/>
    <mergeCell ref="A19:A21"/>
    <mergeCell ref="B19:B21"/>
    <mergeCell ref="J4:J6"/>
    <mergeCell ref="J7:J9"/>
    <mergeCell ref="J10:J12"/>
    <mergeCell ref="J13:J15"/>
    <mergeCell ref="J16:J18"/>
    <mergeCell ref="D10:D12"/>
    <mergeCell ref="A13:A15"/>
    <mergeCell ref="J55:J57"/>
    <mergeCell ref="J58:J60"/>
    <mergeCell ref="J37:J39"/>
    <mergeCell ref="J40:J42"/>
    <mergeCell ref="B10:B12"/>
    <mergeCell ref="C10:C12"/>
    <mergeCell ref="J43:J45"/>
    <mergeCell ref="J46:J48"/>
    <mergeCell ref="J49:J51"/>
    <mergeCell ref="J52:J54"/>
    <mergeCell ref="J19:J21"/>
    <mergeCell ref="J22:J24"/>
    <mergeCell ref="J25:J27"/>
    <mergeCell ref="J28:J30"/>
    <mergeCell ref="J31:J33"/>
    <mergeCell ref="J34:J36"/>
    <mergeCell ref="C19:C21"/>
    <mergeCell ref="D19:D21"/>
    <mergeCell ref="B22:B24"/>
    <mergeCell ref="C22:C24"/>
    <mergeCell ref="D22:D24"/>
    <mergeCell ref="B25:B27"/>
    <mergeCell ref="C25:C27"/>
    <mergeCell ref="D25:D27"/>
    <mergeCell ref="J94:J96"/>
    <mergeCell ref="J97:J99"/>
    <mergeCell ref="A67:A69"/>
    <mergeCell ref="B67:B69"/>
    <mergeCell ref="A70:A72"/>
    <mergeCell ref="B70:B72"/>
    <mergeCell ref="J79:J81"/>
    <mergeCell ref="J67:J69"/>
    <mergeCell ref="J70:J72"/>
    <mergeCell ref="A73:A75"/>
    <mergeCell ref="A58:A60"/>
    <mergeCell ref="B58:B60"/>
    <mergeCell ref="J61:J63"/>
    <mergeCell ref="J64:J66"/>
    <mergeCell ref="A55:A57"/>
    <mergeCell ref="C55:C57"/>
    <mergeCell ref="D55:D57"/>
    <mergeCell ref="B55:B57"/>
    <mergeCell ref="B61:B63"/>
    <mergeCell ref="C61:C63"/>
    <mergeCell ref="C58:C60"/>
    <mergeCell ref="D58:D60"/>
    <mergeCell ref="C67:C69"/>
    <mergeCell ref="D67:D69"/>
    <mergeCell ref="J73:J75"/>
    <mergeCell ref="J76:J78"/>
    <mergeCell ref="D61:D63"/>
    <mergeCell ref="A46:A48"/>
    <mergeCell ref="B46:B48"/>
    <mergeCell ref="J88:J90"/>
    <mergeCell ref="J91:J93"/>
    <mergeCell ref="C82:C84"/>
    <mergeCell ref="D82:D84"/>
    <mergeCell ref="J82:J84"/>
    <mergeCell ref="A52:A54"/>
    <mergeCell ref="D88:D90"/>
    <mergeCell ref="D91:D93"/>
    <mergeCell ref="J130:J132"/>
    <mergeCell ref="J112:J114"/>
    <mergeCell ref="J115:J117"/>
    <mergeCell ref="J133:J135"/>
    <mergeCell ref="J106:J108"/>
    <mergeCell ref="J118:J120"/>
    <mergeCell ref="J121:J123"/>
    <mergeCell ref="J85:J87"/>
    <mergeCell ref="J100:J102"/>
    <mergeCell ref="J109:J111"/>
    <mergeCell ref="B88:B90"/>
    <mergeCell ref="C88:C90"/>
    <mergeCell ref="A137:J137"/>
    <mergeCell ref="J124:J126"/>
    <mergeCell ref="J127:J129"/>
    <mergeCell ref="J103:J105"/>
    <mergeCell ref="A91:A93"/>
  </mergeCells>
  <printOptions horizontalCentered="1"/>
  <pageMargins left="0.5" right="0.5" top="0.5" bottom="0.25" header="9.7222222222222206E-3" footer="0.5"/>
  <pageSetup paperSize="9" orientation="landscape" horizontalDpi="12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view="pageBreakPreview" zoomScale="85" zoomScaleNormal="100" zoomScaleSheetLayoutView="85" workbookViewId="0">
      <selection activeCell="G8" sqref="G8"/>
    </sheetView>
  </sheetViews>
  <sheetFormatPr defaultRowHeight="12.75"/>
  <cols>
    <col min="1" max="1" width="8.85546875" style="4" customWidth="1"/>
    <col min="2" max="2" width="16.7109375" style="4" customWidth="1"/>
    <col min="3" max="3" width="15" style="4" customWidth="1"/>
    <col min="4" max="4" width="18.42578125" style="4" customWidth="1"/>
    <col min="5" max="5" width="16.42578125" style="4" customWidth="1"/>
    <col min="6" max="6" width="19.7109375" style="4" customWidth="1"/>
    <col min="7" max="7" width="18.7109375" style="4" customWidth="1"/>
    <col min="8" max="16384" width="9.140625" style="4"/>
  </cols>
  <sheetData>
    <row r="1" spans="1:10" ht="12.75" customHeight="1">
      <c r="A1" s="448" t="s">
        <v>115</v>
      </c>
      <c r="B1" s="448"/>
      <c r="C1" s="448"/>
      <c r="D1" s="448"/>
      <c r="E1" s="448"/>
      <c r="F1" s="448"/>
      <c r="G1" s="448"/>
      <c r="H1" s="11"/>
      <c r="I1" s="11"/>
      <c r="J1" s="11"/>
    </row>
    <row r="3" spans="1:10" s="25" customFormat="1" ht="42.75">
      <c r="A3" s="35" t="s">
        <v>56</v>
      </c>
      <c r="B3" s="23" t="s">
        <v>101</v>
      </c>
      <c r="C3" s="36" t="s">
        <v>102</v>
      </c>
      <c r="D3" s="24" t="s">
        <v>59</v>
      </c>
      <c r="E3" s="37" t="s">
        <v>103</v>
      </c>
      <c r="F3" s="38" t="s">
        <v>104</v>
      </c>
      <c r="G3" s="39" t="s">
        <v>105</v>
      </c>
    </row>
    <row r="4" spans="1:10" s="10" customFormat="1" ht="15.75" customHeight="1">
      <c r="A4" s="27">
        <v>1</v>
      </c>
      <c r="B4" s="310" t="s">
        <v>77</v>
      </c>
      <c r="C4" s="27" t="s">
        <v>68</v>
      </c>
      <c r="D4" s="40" t="s">
        <v>69</v>
      </c>
      <c r="E4" s="45" t="e">
        <f>'APP 2015-16'!#REF!</f>
        <v>#REF!</v>
      </c>
      <c r="F4" s="29">
        <v>0.55000000000000004</v>
      </c>
      <c r="G4" s="177" t="e">
        <f>ROUND(E4*F4,4)</f>
        <v>#REF!</v>
      </c>
    </row>
    <row r="5" spans="1:10" s="10" customFormat="1" ht="15.75" customHeight="1">
      <c r="A5" s="27">
        <v>2</v>
      </c>
      <c r="B5" s="310" t="s">
        <v>1</v>
      </c>
      <c r="C5" s="27" t="s">
        <v>68</v>
      </c>
      <c r="D5" s="40" t="s">
        <v>69</v>
      </c>
      <c r="E5" s="311" t="e">
        <f>'APP 2015-16'!#REF!</f>
        <v>#REF!</v>
      </c>
      <c r="F5" s="29">
        <v>0.55000000000000004</v>
      </c>
      <c r="G5" s="178" t="e">
        <f t="shared" ref="G5:G23" si="0">ROUND(E5*F5,4)</f>
        <v>#REF!</v>
      </c>
    </row>
    <row r="6" spans="1:10" s="10" customFormat="1" ht="15.75" customHeight="1">
      <c r="A6" s="27">
        <v>3</v>
      </c>
      <c r="B6" s="310" t="s">
        <v>2</v>
      </c>
      <c r="C6" s="27" t="s">
        <v>68</v>
      </c>
      <c r="D6" s="40" t="s">
        <v>69</v>
      </c>
      <c r="E6" s="312">
        <v>1.6101268038000001</v>
      </c>
      <c r="F6" s="29">
        <v>0.55000000000000004</v>
      </c>
      <c r="G6" s="179">
        <f t="shared" si="0"/>
        <v>0.88560000000000005</v>
      </c>
    </row>
    <row r="7" spans="1:10" s="10" customFormat="1" ht="15.75" customHeight="1">
      <c r="A7" s="27">
        <v>4</v>
      </c>
      <c r="B7" s="310" t="s">
        <v>3</v>
      </c>
      <c r="C7" s="27" t="s">
        <v>68</v>
      </c>
      <c r="D7" s="40" t="s">
        <v>69</v>
      </c>
      <c r="E7" s="313">
        <v>5.2044873750000002</v>
      </c>
      <c r="F7" s="29">
        <v>0.55000000000000004</v>
      </c>
      <c r="G7" s="180">
        <f t="shared" si="0"/>
        <v>2.8624999999999998</v>
      </c>
    </row>
    <row r="8" spans="1:10" s="10" customFormat="1" ht="15.75" customHeight="1">
      <c r="A8" s="27">
        <v>5</v>
      </c>
      <c r="B8" s="310" t="s">
        <v>4</v>
      </c>
      <c r="C8" s="27" t="s">
        <v>68</v>
      </c>
      <c r="D8" s="40" t="s">
        <v>69</v>
      </c>
      <c r="E8" s="313">
        <v>7.3500705129599986</v>
      </c>
      <c r="F8" s="29">
        <v>0.55000000000000004</v>
      </c>
      <c r="G8" s="180">
        <f t="shared" si="0"/>
        <v>4.0425000000000004</v>
      </c>
    </row>
    <row r="9" spans="1:10" s="10" customFormat="1" ht="15.75" customHeight="1">
      <c r="A9" s="27">
        <v>6</v>
      </c>
      <c r="B9" s="310" t="s">
        <v>81</v>
      </c>
      <c r="C9" s="27" t="s">
        <v>68</v>
      </c>
      <c r="D9" s="40" t="s">
        <v>69</v>
      </c>
      <c r="E9" s="314">
        <v>0.49749005376</v>
      </c>
      <c r="F9" s="29">
        <v>0.55000000000000004</v>
      </c>
      <c r="G9" s="181">
        <f t="shared" si="0"/>
        <v>0.27360000000000001</v>
      </c>
    </row>
    <row r="10" spans="1:10" s="10" customFormat="1" ht="15.75" customHeight="1">
      <c r="A10" s="27">
        <v>7</v>
      </c>
      <c r="B10" s="310" t="s">
        <v>6</v>
      </c>
      <c r="C10" s="27" t="s">
        <v>68</v>
      </c>
      <c r="D10" s="40" t="s">
        <v>69</v>
      </c>
      <c r="E10" s="315">
        <v>6.9175916340000008</v>
      </c>
      <c r="F10" s="29">
        <v>0.55000000000000004</v>
      </c>
      <c r="G10" s="182">
        <f t="shared" si="0"/>
        <v>3.8047</v>
      </c>
    </row>
    <row r="11" spans="1:10" s="10" customFormat="1" ht="15.75" customHeight="1">
      <c r="A11" s="27">
        <v>8</v>
      </c>
      <c r="B11" s="310" t="s">
        <v>78</v>
      </c>
      <c r="C11" s="27" t="s">
        <v>68</v>
      </c>
      <c r="D11" s="40" t="s">
        <v>69</v>
      </c>
      <c r="E11" s="313">
        <v>0.75446700336000005</v>
      </c>
      <c r="F11" s="29">
        <v>0.55000000000000004</v>
      </c>
      <c r="G11" s="180">
        <f t="shared" si="0"/>
        <v>0.41499999999999998</v>
      </c>
    </row>
    <row r="12" spans="1:10" s="10" customFormat="1" ht="15.75" customHeight="1">
      <c r="A12" s="27">
        <v>9</v>
      </c>
      <c r="B12" s="310" t="s">
        <v>8</v>
      </c>
      <c r="C12" s="27" t="s">
        <v>68</v>
      </c>
      <c r="D12" s="40" t="s">
        <v>69</v>
      </c>
      <c r="E12" s="316">
        <v>1.2677038010100001</v>
      </c>
      <c r="F12" s="29">
        <v>0.55000000000000004</v>
      </c>
      <c r="G12" s="183">
        <f t="shared" si="0"/>
        <v>0.69720000000000004</v>
      </c>
    </row>
    <row r="13" spans="1:10" s="10" customFormat="1" ht="15.75" customHeight="1">
      <c r="A13" s="27">
        <v>10</v>
      </c>
      <c r="B13" s="310" t="s">
        <v>82</v>
      </c>
      <c r="C13" s="27" t="s">
        <v>68</v>
      </c>
      <c r="D13" s="40" t="s">
        <v>69</v>
      </c>
      <c r="E13" s="312">
        <v>0.90004573350000006</v>
      </c>
      <c r="F13" s="29">
        <v>0.55000000000000004</v>
      </c>
      <c r="G13" s="177">
        <f>ROUND(E13*F13,4)</f>
        <v>0.495</v>
      </c>
    </row>
    <row r="14" spans="1:10" s="10" customFormat="1" ht="15.75" customHeight="1">
      <c r="A14" s="27">
        <v>11</v>
      </c>
      <c r="B14" s="317" t="s">
        <v>10</v>
      </c>
      <c r="C14" s="27" t="s">
        <v>68</v>
      </c>
      <c r="D14" s="40" t="s">
        <v>69</v>
      </c>
      <c r="E14" s="314">
        <v>0.13388659536</v>
      </c>
      <c r="F14" s="29">
        <v>0.55000000000000004</v>
      </c>
      <c r="G14" s="181">
        <f t="shared" si="0"/>
        <v>7.3599999999999999E-2</v>
      </c>
    </row>
    <row r="15" spans="1:10" s="10" customFormat="1" ht="15.75" customHeight="1">
      <c r="A15" s="27">
        <v>12</v>
      </c>
      <c r="B15" s="317" t="s">
        <v>11</v>
      </c>
      <c r="C15" s="27" t="s">
        <v>68</v>
      </c>
      <c r="D15" s="40" t="s">
        <v>69</v>
      </c>
      <c r="E15" s="315">
        <v>0.23661540599999997</v>
      </c>
      <c r="F15" s="29">
        <v>0.55000000000000004</v>
      </c>
      <c r="G15" s="182">
        <f t="shared" si="0"/>
        <v>0.13009999999999999</v>
      </c>
    </row>
    <row r="16" spans="1:10" s="10" customFormat="1" ht="15.75" customHeight="1">
      <c r="A16" s="27">
        <v>13</v>
      </c>
      <c r="B16" s="310" t="s">
        <v>12</v>
      </c>
      <c r="C16" s="27" t="s">
        <v>68</v>
      </c>
      <c r="D16" s="40" t="s">
        <v>69</v>
      </c>
      <c r="E16" s="313">
        <v>0.46088566992000002</v>
      </c>
      <c r="F16" s="29">
        <v>0.55000000000000004</v>
      </c>
      <c r="G16" s="177">
        <f>ROUND(E16*F16,4)</f>
        <v>0.2535</v>
      </c>
    </row>
    <row r="17" spans="1:7" s="10" customFormat="1" ht="15.75" customHeight="1">
      <c r="A17" s="27">
        <v>14</v>
      </c>
      <c r="B17" s="310" t="s">
        <v>13</v>
      </c>
      <c r="C17" s="27" t="s">
        <v>68</v>
      </c>
      <c r="D17" s="40" t="s">
        <v>69</v>
      </c>
      <c r="E17" s="313">
        <v>2.4605114760899998</v>
      </c>
      <c r="F17" s="29">
        <v>0.55000000000000004</v>
      </c>
      <c r="G17" s="177">
        <f>ROUND(E17*F17,4)</f>
        <v>1.3532999999999999</v>
      </c>
    </row>
    <row r="18" spans="1:7" s="10" customFormat="1" ht="15.75" customHeight="1">
      <c r="A18" s="27">
        <v>15</v>
      </c>
      <c r="B18" s="310" t="s">
        <v>83</v>
      </c>
      <c r="C18" s="27" t="s">
        <v>68</v>
      </c>
      <c r="D18" s="40" t="s">
        <v>69</v>
      </c>
      <c r="E18" s="316">
        <v>6.9868792319999998E-2</v>
      </c>
      <c r="F18" s="29">
        <v>0.55000000000000004</v>
      </c>
      <c r="G18" s="183">
        <f t="shared" si="0"/>
        <v>3.8399999999999997E-2</v>
      </c>
    </row>
    <row r="19" spans="1:7" s="10" customFormat="1" ht="15.75" customHeight="1">
      <c r="A19" s="27">
        <v>16</v>
      </c>
      <c r="B19" s="317" t="s">
        <v>15</v>
      </c>
      <c r="C19" s="27" t="s">
        <v>68</v>
      </c>
      <c r="D19" s="40" t="s">
        <v>69</v>
      </c>
      <c r="E19" s="312">
        <v>1.3019207940000002</v>
      </c>
      <c r="F19" s="29">
        <v>0.55000000000000004</v>
      </c>
      <c r="G19" s="179">
        <f t="shared" si="0"/>
        <v>0.71609999999999996</v>
      </c>
    </row>
    <row r="20" spans="1:7" s="10" customFormat="1" ht="15.75" customHeight="1">
      <c r="A20" s="27">
        <v>17</v>
      </c>
      <c r="B20" s="317" t="s">
        <v>16</v>
      </c>
      <c r="C20" s="27" t="s">
        <v>68</v>
      </c>
      <c r="D20" s="40" t="s">
        <v>69</v>
      </c>
      <c r="E20" s="314">
        <v>1.0924799789999999</v>
      </c>
      <c r="F20" s="29">
        <v>0.55000000000000004</v>
      </c>
      <c r="G20" s="181">
        <f t="shared" si="0"/>
        <v>0.60089999999999999</v>
      </c>
    </row>
    <row r="21" spans="1:7" s="10" customFormat="1" ht="15.75" customHeight="1">
      <c r="A21" s="27">
        <v>18</v>
      </c>
      <c r="B21" s="310" t="s">
        <v>17</v>
      </c>
      <c r="C21" s="27" t="s">
        <v>68</v>
      </c>
      <c r="D21" s="40" t="s">
        <v>69</v>
      </c>
      <c r="E21" s="315">
        <v>8.5431313843199987</v>
      </c>
      <c r="F21" s="29">
        <v>0.55000000000000004</v>
      </c>
      <c r="G21" s="182">
        <f t="shared" si="0"/>
        <v>4.6986999999999997</v>
      </c>
    </row>
    <row r="22" spans="1:7" s="10" customFormat="1" ht="15.75" customHeight="1">
      <c r="A22" s="27">
        <v>19</v>
      </c>
      <c r="B22" s="310" t="s">
        <v>84</v>
      </c>
      <c r="C22" s="27" t="s">
        <v>68</v>
      </c>
      <c r="D22" s="40" t="s">
        <v>69</v>
      </c>
      <c r="E22" s="313">
        <v>0.33409794803999998</v>
      </c>
      <c r="F22" s="29">
        <v>0.55000000000000004</v>
      </c>
      <c r="G22" s="180">
        <f t="shared" si="0"/>
        <v>0.18379999999999999</v>
      </c>
    </row>
    <row r="23" spans="1:7" s="10" customFormat="1" ht="15.75" customHeight="1">
      <c r="A23" s="27">
        <v>20</v>
      </c>
      <c r="B23" s="310" t="s">
        <v>19</v>
      </c>
      <c r="C23" s="27" t="s">
        <v>68</v>
      </c>
      <c r="D23" s="40" t="s">
        <v>69</v>
      </c>
      <c r="E23" s="316">
        <v>0.27740154549000001</v>
      </c>
      <c r="F23" s="29">
        <v>0.55000000000000004</v>
      </c>
      <c r="G23" s="183">
        <f t="shared" si="0"/>
        <v>0.15260000000000001</v>
      </c>
    </row>
    <row r="24" spans="1:7" ht="14.25">
      <c r="A24" s="27">
        <v>21</v>
      </c>
      <c r="B24" s="310" t="s">
        <v>20</v>
      </c>
      <c r="C24" s="27" t="s">
        <v>68</v>
      </c>
      <c r="D24" s="40" t="s">
        <v>69</v>
      </c>
      <c r="E24" s="318">
        <v>0.59822935146</v>
      </c>
      <c r="F24" s="29">
        <v>0.55000000000000004</v>
      </c>
      <c r="G24" s="183">
        <f t="shared" ref="G24:G48" si="1">ROUND(E24*F24,4)</f>
        <v>0.32900000000000001</v>
      </c>
    </row>
    <row r="25" spans="1:7" ht="14.25">
      <c r="A25" s="27">
        <v>22</v>
      </c>
      <c r="B25" s="310" t="s">
        <v>21</v>
      </c>
      <c r="C25" s="27" t="s">
        <v>68</v>
      </c>
      <c r="D25" s="40" t="s">
        <v>69</v>
      </c>
      <c r="E25" s="318">
        <v>2.9417708503799997</v>
      </c>
      <c r="F25" s="29">
        <v>0.55000000000000004</v>
      </c>
      <c r="G25" s="183">
        <f t="shared" si="1"/>
        <v>1.6180000000000001</v>
      </c>
    </row>
    <row r="26" spans="1:7" ht="14.25">
      <c r="A26" s="27">
        <v>23</v>
      </c>
      <c r="B26" s="9" t="s">
        <v>85</v>
      </c>
      <c r="C26" s="27" t="s">
        <v>68</v>
      </c>
      <c r="D26" s="40" t="s">
        <v>69</v>
      </c>
      <c r="E26" s="318">
        <v>4.0522481109000008</v>
      </c>
      <c r="F26" s="29">
        <v>0.55000000000000004</v>
      </c>
      <c r="G26" s="183">
        <f t="shared" si="1"/>
        <v>2.2286999999999999</v>
      </c>
    </row>
    <row r="27" spans="1:7" ht="14.25">
      <c r="A27" s="27">
        <v>24</v>
      </c>
      <c r="B27" s="317" t="s">
        <v>55</v>
      </c>
      <c r="C27" s="27" t="s">
        <v>68</v>
      </c>
      <c r="D27" s="40" t="s">
        <v>69</v>
      </c>
      <c r="E27" s="318">
        <v>0.16880766540000003</v>
      </c>
      <c r="F27" s="29">
        <v>0.55000000000000004</v>
      </c>
      <c r="G27" s="183">
        <f t="shared" si="1"/>
        <v>9.2799999999999994E-2</v>
      </c>
    </row>
    <row r="28" spans="1:7" ht="14.25">
      <c r="A28" s="27">
        <v>25</v>
      </c>
      <c r="B28" s="310" t="s">
        <v>23</v>
      </c>
      <c r="C28" s="27" t="s">
        <v>68</v>
      </c>
      <c r="D28" s="40" t="s">
        <v>69</v>
      </c>
      <c r="E28" s="318">
        <v>0.12572968004999999</v>
      </c>
      <c r="F28" s="29">
        <v>0.55000000000000004</v>
      </c>
      <c r="G28" s="183">
        <f t="shared" si="1"/>
        <v>6.9199999999999998E-2</v>
      </c>
    </row>
    <row r="29" spans="1:7" ht="14.25">
      <c r="A29" s="27">
        <v>26</v>
      </c>
      <c r="B29" s="317" t="s">
        <v>24</v>
      </c>
      <c r="C29" s="27" t="s">
        <v>68</v>
      </c>
      <c r="D29" s="40" t="s">
        <v>69</v>
      </c>
      <c r="E29" s="318">
        <v>2.3955894300000002E-2</v>
      </c>
      <c r="F29" s="29">
        <v>0.55000000000000004</v>
      </c>
      <c r="G29" s="183">
        <f t="shared" si="1"/>
        <v>1.32E-2</v>
      </c>
    </row>
    <row r="30" spans="1:7" ht="14.25">
      <c r="A30" s="27">
        <v>27</v>
      </c>
      <c r="B30" s="317" t="s">
        <v>25</v>
      </c>
      <c r="C30" s="27" t="s">
        <v>68</v>
      </c>
      <c r="D30" s="40" t="s">
        <v>69</v>
      </c>
      <c r="E30" s="318">
        <v>0.7827511583700002</v>
      </c>
      <c r="F30" s="29">
        <v>0.55000000000000004</v>
      </c>
      <c r="G30" s="183">
        <f t="shared" si="1"/>
        <v>0.43049999999999999</v>
      </c>
    </row>
    <row r="31" spans="1:7" ht="14.25">
      <c r="A31" s="27">
        <v>28</v>
      </c>
      <c r="B31" s="317" t="s">
        <v>26</v>
      </c>
      <c r="C31" s="27" t="s">
        <v>68</v>
      </c>
      <c r="D31" s="40" t="s">
        <v>69</v>
      </c>
      <c r="E31" s="318">
        <v>1.6248661506000002</v>
      </c>
      <c r="F31" s="29">
        <v>0.55000000000000004</v>
      </c>
      <c r="G31" s="183">
        <f t="shared" si="1"/>
        <v>0.89370000000000005</v>
      </c>
    </row>
    <row r="32" spans="1:7" ht="14.25">
      <c r="A32" s="27">
        <v>29</v>
      </c>
      <c r="B32" s="310" t="s">
        <v>27</v>
      </c>
      <c r="C32" s="27" t="s">
        <v>68</v>
      </c>
      <c r="D32" s="40" t="s">
        <v>69</v>
      </c>
      <c r="E32" s="318">
        <v>1.2246204550500002</v>
      </c>
      <c r="F32" s="29">
        <v>0.55000000000000004</v>
      </c>
      <c r="G32" s="183">
        <f t="shared" si="1"/>
        <v>0.67349999999999999</v>
      </c>
    </row>
    <row r="33" spans="1:7" ht="14.25">
      <c r="A33" s="27">
        <v>30</v>
      </c>
      <c r="B33" s="310" t="s">
        <v>79</v>
      </c>
      <c r="C33" s="27" t="s">
        <v>68</v>
      </c>
      <c r="D33" s="40" t="s">
        <v>69</v>
      </c>
      <c r="E33" s="318">
        <v>1.5931290087000003</v>
      </c>
      <c r="F33" s="29">
        <v>0.55000000000000004</v>
      </c>
      <c r="G33" s="183">
        <f t="shared" si="1"/>
        <v>0.87619999999999998</v>
      </c>
    </row>
    <row r="34" spans="1:7" ht="14.25">
      <c r="A34" s="27">
        <v>31</v>
      </c>
      <c r="B34" s="310" t="s">
        <v>29</v>
      </c>
      <c r="C34" s="27" t="s">
        <v>68</v>
      </c>
      <c r="D34" s="40" t="s">
        <v>69</v>
      </c>
      <c r="E34" s="318">
        <v>4.4324796057000002</v>
      </c>
      <c r="F34" s="29">
        <v>0.55000000000000004</v>
      </c>
      <c r="G34" s="183">
        <f t="shared" si="1"/>
        <v>2.4379</v>
      </c>
    </row>
    <row r="35" spans="1:7" ht="14.25">
      <c r="A35" s="27">
        <v>32</v>
      </c>
      <c r="B35" s="310" t="s">
        <v>30</v>
      </c>
      <c r="C35" s="27" t="s">
        <v>68</v>
      </c>
      <c r="D35" s="40" t="s">
        <v>69</v>
      </c>
      <c r="E35" s="318">
        <v>6.8894285520000009</v>
      </c>
      <c r="F35" s="29">
        <v>0.55000000000000004</v>
      </c>
      <c r="G35" s="183">
        <f t="shared" si="1"/>
        <v>3.7892000000000001</v>
      </c>
    </row>
    <row r="36" spans="1:7" ht="14.25">
      <c r="A36" s="27">
        <v>33</v>
      </c>
      <c r="B36" s="310" t="s">
        <v>31</v>
      </c>
      <c r="C36" s="27" t="s">
        <v>68</v>
      </c>
      <c r="D36" s="40" t="s">
        <v>69</v>
      </c>
      <c r="E36" s="318">
        <v>2.4025461033599997</v>
      </c>
      <c r="F36" s="29">
        <v>0.55000000000000004</v>
      </c>
      <c r="G36" s="183">
        <f t="shared" si="1"/>
        <v>1.3213999999999999</v>
      </c>
    </row>
    <row r="37" spans="1:7" ht="14.25">
      <c r="A37" s="27">
        <v>34</v>
      </c>
      <c r="B37" s="317" t="s">
        <v>32</v>
      </c>
      <c r="C37" s="27" t="s">
        <v>68</v>
      </c>
      <c r="D37" s="40" t="s">
        <v>69</v>
      </c>
      <c r="E37" s="318">
        <v>0</v>
      </c>
      <c r="F37" s="29">
        <v>0.55000000000000004</v>
      </c>
      <c r="G37" s="183">
        <f t="shared" si="1"/>
        <v>0</v>
      </c>
    </row>
    <row r="38" spans="1:7" ht="14.25">
      <c r="A38" s="27">
        <v>35</v>
      </c>
      <c r="B38" s="317" t="s">
        <v>33</v>
      </c>
      <c r="C38" s="27" t="s">
        <v>68</v>
      </c>
      <c r="D38" s="40" t="s">
        <v>69</v>
      </c>
      <c r="E38" s="318">
        <v>0.14467784604000003</v>
      </c>
      <c r="F38" s="29">
        <v>0.55000000000000004</v>
      </c>
      <c r="G38" s="183">
        <f t="shared" si="1"/>
        <v>7.9600000000000004E-2</v>
      </c>
    </row>
    <row r="39" spans="1:7" ht="14.25">
      <c r="A39" s="27">
        <v>36</v>
      </c>
      <c r="B39" s="310" t="s">
        <v>34</v>
      </c>
      <c r="C39" s="27" t="s">
        <v>68</v>
      </c>
      <c r="D39" s="40" t="s">
        <v>69</v>
      </c>
      <c r="E39" s="318">
        <v>2.0112665970000001</v>
      </c>
      <c r="F39" s="29">
        <v>0.55000000000000004</v>
      </c>
      <c r="G39" s="183">
        <f t="shared" si="1"/>
        <v>1.1062000000000001</v>
      </c>
    </row>
    <row r="40" spans="1:7" ht="14.25">
      <c r="A40" s="27">
        <v>37</v>
      </c>
      <c r="B40" s="317" t="s">
        <v>35</v>
      </c>
      <c r="C40" s="27" t="s">
        <v>68</v>
      </c>
      <c r="D40" s="40" t="s">
        <v>69</v>
      </c>
      <c r="E40" s="318">
        <v>1.06309193592</v>
      </c>
      <c r="F40" s="29">
        <v>0.55000000000000004</v>
      </c>
      <c r="G40" s="183">
        <f t="shared" si="1"/>
        <v>0.5847</v>
      </c>
    </row>
    <row r="41" spans="1:7" ht="14.25">
      <c r="A41" s="27">
        <v>38</v>
      </c>
      <c r="B41" s="317" t="s">
        <v>36</v>
      </c>
      <c r="C41" s="27" t="s">
        <v>68</v>
      </c>
      <c r="D41" s="40" t="s">
        <v>69</v>
      </c>
      <c r="E41" s="318">
        <v>0.31115355012000001</v>
      </c>
      <c r="F41" s="29">
        <v>0.55000000000000004</v>
      </c>
      <c r="G41" s="183">
        <f t="shared" si="1"/>
        <v>0.1711</v>
      </c>
    </row>
    <row r="42" spans="1:7" ht="14.25">
      <c r="A42" s="27">
        <v>39</v>
      </c>
      <c r="B42" s="310" t="s">
        <v>37</v>
      </c>
      <c r="C42" s="27" t="s">
        <v>68</v>
      </c>
      <c r="D42" s="40" t="s">
        <v>69</v>
      </c>
      <c r="E42" s="318">
        <v>6.4653116214000015</v>
      </c>
      <c r="F42" s="29">
        <v>0.55000000000000004</v>
      </c>
      <c r="G42" s="183">
        <f t="shared" si="1"/>
        <v>3.5558999999999998</v>
      </c>
    </row>
    <row r="43" spans="1:7" ht="14.25">
      <c r="A43" s="27">
        <v>40</v>
      </c>
      <c r="B43" s="310" t="s">
        <v>80</v>
      </c>
      <c r="C43" s="27" t="s">
        <v>68</v>
      </c>
      <c r="D43" s="40" t="s">
        <v>69</v>
      </c>
      <c r="E43" s="318">
        <v>2.3593348431000005</v>
      </c>
      <c r="F43" s="29">
        <v>0.55000000000000004</v>
      </c>
      <c r="G43" s="183">
        <f t="shared" si="1"/>
        <v>1.2976000000000001</v>
      </c>
    </row>
    <row r="44" spans="1:7" ht="14.25">
      <c r="A44" s="27">
        <v>41</v>
      </c>
      <c r="B44" s="317" t="s">
        <v>39</v>
      </c>
      <c r="C44" s="27" t="s">
        <v>68</v>
      </c>
      <c r="D44" s="40" t="s">
        <v>69</v>
      </c>
      <c r="E44" s="318">
        <v>0.28209915359999999</v>
      </c>
      <c r="F44" s="29">
        <v>0.55000000000000004</v>
      </c>
      <c r="G44" s="183">
        <f t="shared" si="1"/>
        <v>0.1552</v>
      </c>
    </row>
    <row r="45" spans="1:7" ht="14.25">
      <c r="A45" s="27">
        <v>42</v>
      </c>
      <c r="B45" s="317" t="s">
        <v>40</v>
      </c>
      <c r="C45" s="27" t="s">
        <v>68</v>
      </c>
      <c r="D45" s="40" t="s">
        <v>69</v>
      </c>
      <c r="E45" s="318">
        <v>0.48431364695999995</v>
      </c>
      <c r="F45" s="29">
        <v>0.55000000000000004</v>
      </c>
      <c r="G45" s="183">
        <f t="shared" si="1"/>
        <v>0.26640000000000003</v>
      </c>
    </row>
    <row r="46" spans="1:7" ht="14.25">
      <c r="A46" s="27">
        <v>43</v>
      </c>
      <c r="B46" s="317" t="s">
        <v>41</v>
      </c>
      <c r="C46" s="27" t="s">
        <v>68</v>
      </c>
      <c r="D46" s="40" t="s">
        <v>69</v>
      </c>
      <c r="E46" s="318">
        <v>1.93433756598</v>
      </c>
      <c r="F46" s="29">
        <v>0.55000000000000004</v>
      </c>
      <c r="G46" s="183">
        <f t="shared" si="1"/>
        <v>1.0639000000000001</v>
      </c>
    </row>
    <row r="47" spans="1:7" ht="14.25">
      <c r="A47" s="27">
        <v>44</v>
      </c>
      <c r="B47" s="310" t="s">
        <v>42</v>
      </c>
      <c r="C47" s="27" t="s">
        <v>68</v>
      </c>
      <c r="D47" s="40" t="s">
        <v>69</v>
      </c>
      <c r="E47" s="318">
        <v>0.36119230812000003</v>
      </c>
      <c r="F47" s="29">
        <v>0.55000000000000004</v>
      </c>
      <c r="G47" s="181">
        <f t="shared" si="1"/>
        <v>0.19869999999999999</v>
      </c>
    </row>
    <row r="48" spans="1:7">
      <c r="B48" s="16"/>
      <c r="E48" s="176" t="e">
        <f>SUM(E4:E47)</f>
        <v>#REF!</v>
      </c>
      <c r="F48" s="19">
        <v>0.55000000000000004</v>
      </c>
      <c r="G48" s="21" t="e">
        <f t="shared" si="1"/>
        <v>#REF!</v>
      </c>
    </row>
    <row r="49" spans="1:10" ht="32.25" customHeight="1">
      <c r="A49" s="433" t="s">
        <v>155</v>
      </c>
      <c r="B49" s="433"/>
      <c r="C49" s="433"/>
      <c r="D49" s="433"/>
      <c r="E49" s="433"/>
      <c r="F49" s="433"/>
      <c r="G49" s="433"/>
      <c r="H49" s="295"/>
      <c r="I49" s="295"/>
      <c r="J49" s="295"/>
    </row>
    <row r="50" spans="1:10">
      <c r="B50" s="16"/>
    </row>
    <row r="51" spans="1:10">
      <c r="B51" s="16"/>
    </row>
    <row r="52" spans="1:10">
      <c r="B52" s="16"/>
    </row>
    <row r="53" spans="1:10">
      <c r="B53" s="16"/>
    </row>
    <row r="54" spans="1:10">
      <c r="B54" s="16"/>
    </row>
    <row r="55" spans="1:10">
      <c r="B55" s="16"/>
    </row>
    <row r="56" spans="1:10">
      <c r="B56" s="16"/>
    </row>
    <row r="57" spans="1:10">
      <c r="B57" s="16"/>
    </row>
  </sheetData>
  <mergeCells count="2">
    <mergeCell ref="A49:G49"/>
    <mergeCell ref="A1:G1"/>
  </mergeCells>
  <printOptions horizontalCentered="1"/>
  <pageMargins left="1.5" right="0.5" top="1.25" bottom="0.25" header="0.5" footer="0.5"/>
  <pageSetup paperSize="9" orientation="landscape" horizontalDpi="180" verticalDpi="18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view="pageBreakPreview" zoomScale="85" zoomScaleNormal="100" zoomScaleSheetLayoutView="85" workbookViewId="0">
      <selection activeCell="BV11" sqref="BV11:BW11"/>
    </sheetView>
  </sheetViews>
  <sheetFormatPr defaultRowHeight="12.75"/>
  <cols>
    <col min="1" max="1" width="7.85546875" style="4" customWidth="1"/>
    <col min="2" max="2" width="20.5703125" style="4" customWidth="1"/>
    <col min="3" max="3" width="11.5703125" style="4" customWidth="1"/>
    <col min="4" max="4" width="18" style="4" customWidth="1"/>
    <col min="5" max="5" width="14.85546875" style="4" customWidth="1"/>
    <col min="6" max="6" width="13" style="4" customWidth="1"/>
    <col min="7" max="7" width="14.42578125" style="4" customWidth="1"/>
    <col min="8" max="8" width="19.7109375" style="4" customWidth="1"/>
    <col min="9" max="16384" width="9.140625" style="4"/>
  </cols>
  <sheetData>
    <row r="1" spans="1:9" ht="12.75" customHeight="1">
      <c r="A1" s="449" t="s">
        <v>110</v>
      </c>
      <c r="B1" s="449"/>
      <c r="C1" s="449"/>
      <c r="D1" s="449"/>
      <c r="E1" s="449"/>
      <c r="F1" s="449"/>
      <c r="G1" s="449"/>
      <c r="H1" s="449"/>
      <c r="I1" s="319"/>
    </row>
    <row r="2" spans="1:9">
      <c r="C2" s="320"/>
      <c r="D2" s="320"/>
      <c r="E2" s="320"/>
      <c r="F2" s="320"/>
      <c r="G2" s="320"/>
      <c r="H2" s="320"/>
      <c r="I2" s="319"/>
    </row>
    <row r="3" spans="1:9" s="325" customFormat="1" ht="46.5" customHeight="1">
      <c r="A3" s="321" t="s">
        <v>56</v>
      </c>
      <c r="B3" s="322" t="s">
        <v>43</v>
      </c>
      <c r="C3" s="323" t="s">
        <v>102</v>
      </c>
      <c r="D3" s="322" t="s">
        <v>59</v>
      </c>
      <c r="E3" s="323" t="s">
        <v>106</v>
      </c>
      <c r="F3" s="322" t="s">
        <v>107</v>
      </c>
      <c r="G3" s="323" t="s">
        <v>109</v>
      </c>
      <c r="H3" s="322" t="s">
        <v>108</v>
      </c>
      <c r="I3" s="324"/>
    </row>
    <row r="4" spans="1:9">
      <c r="A4" s="32">
        <v>1</v>
      </c>
      <c r="B4" s="8">
        <v>2</v>
      </c>
      <c r="C4" s="15">
        <v>3</v>
      </c>
      <c r="D4" s="8">
        <v>4</v>
      </c>
      <c r="E4" s="15">
        <v>5</v>
      </c>
      <c r="F4" s="8">
        <v>6</v>
      </c>
      <c r="G4" s="15">
        <v>7</v>
      </c>
      <c r="H4" s="8">
        <v>8</v>
      </c>
      <c r="I4" s="326"/>
    </row>
    <row r="5" spans="1:9" s="10" customFormat="1" ht="16.5" customHeight="1">
      <c r="A5" s="27">
        <v>1</v>
      </c>
      <c r="B5" s="310" t="s">
        <v>77</v>
      </c>
      <c r="C5" s="27" t="s">
        <v>68</v>
      </c>
      <c r="D5" s="20" t="s">
        <v>69</v>
      </c>
      <c r="E5" s="19">
        <v>5.71</v>
      </c>
      <c r="F5" s="329">
        <v>12</v>
      </c>
      <c r="G5" s="21">
        <v>2.1</v>
      </c>
      <c r="H5" s="328">
        <f>ROUND(E5*F5*G5/100,4)</f>
        <v>1.4389000000000001</v>
      </c>
      <c r="I5" s="327"/>
    </row>
    <row r="6" spans="1:9" s="10" customFormat="1" ht="16.5" customHeight="1">
      <c r="A6" s="27">
        <v>2</v>
      </c>
      <c r="B6" s="310" t="s">
        <v>1</v>
      </c>
      <c r="C6" s="27" t="s">
        <v>68</v>
      </c>
      <c r="D6" s="20" t="s">
        <v>69</v>
      </c>
      <c r="E6" s="19">
        <v>4.1100000000000003</v>
      </c>
      <c r="F6" s="329">
        <v>12</v>
      </c>
      <c r="G6" s="330">
        <v>0.22</v>
      </c>
      <c r="H6" s="328">
        <f t="shared" ref="H6:H49" si="0">ROUND(E6*F6*G6/100,4)</f>
        <v>0.1085</v>
      </c>
    </row>
    <row r="7" spans="1:9" s="10" customFormat="1" ht="16.5" customHeight="1">
      <c r="A7" s="27">
        <v>3</v>
      </c>
      <c r="B7" s="310" t="s">
        <v>2</v>
      </c>
      <c r="C7" s="27" t="s">
        <v>68</v>
      </c>
      <c r="D7" s="20" t="s">
        <v>69</v>
      </c>
      <c r="E7" s="19">
        <v>9.56</v>
      </c>
      <c r="F7" s="329">
        <v>12</v>
      </c>
      <c r="G7" s="21"/>
      <c r="H7" s="328"/>
    </row>
    <row r="8" spans="1:9" s="10" customFormat="1" ht="16.5" customHeight="1">
      <c r="A8" s="27">
        <v>4</v>
      </c>
      <c r="B8" s="310" t="s">
        <v>3</v>
      </c>
      <c r="C8" s="27" t="s">
        <v>68</v>
      </c>
      <c r="D8" s="20" t="s">
        <v>69</v>
      </c>
      <c r="E8" s="21">
        <v>10.68</v>
      </c>
      <c r="F8" s="329">
        <v>12</v>
      </c>
      <c r="G8" s="330">
        <v>1.98</v>
      </c>
      <c r="H8" s="328">
        <f t="shared" si="0"/>
        <v>2.5375999999999999</v>
      </c>
    </row>
    <row r="9" spans="1:9" s="10" customFormat="1" ht="16.5" customHeight="1">
      <c r="A9" s="27">
        <v>5</v>
      </c>
      <c r="B9" s="310" t="s">
        <v>4</v>
      </c>
      <c r="C9" s="27" t="s">
        <v>68</v>
      </c>
      <c r="D9" s="20" t="s">
        <v>69</v>
      </c>
      <c r="E9" s="19">
        <v>21.01</v>
      </c>
      <c r="F9" s="329">
        <v>12</v>
      </c>
      <c r="G9" s="21">
        <v>1.61</v>
      </c>
      <c r="H9" s="328">
        <f t="shared" si="0"/>
        <v>4.0590999999999999</v>
      </c>
    </row>
    <row r="10" spans="1:9" s="10" customFormat="1" ht="16.5" customHeight="1">
      <c r="A10" s="27">
        <v>6</v>
      </c>
      <c r="B10" s="310" t="s">
        <v>81</v>
      </c>
      <c r="C10" s="27" t="s">
        <v>68</v>
      </c>
      <c r="D10" s="20" t="s">
        <v>69</v>
      </c>
      <c r="E10" s="19">
        <v>4.29</v>
      </c>
      <c r="F10" s="329">
        <v>12</v>
      </c>
      <c r="G10" s="21"/>
      <c r="H10" s="328">
        <f t="shared" si="0"/>
        <v>0</v>
      </c>
    </row>
    <row r="11" spans="1:9" s="10" customFormat="1" ht="16.5" customHeight="1">
      <c r="A11" s="27">
        <v>7</v>
      </c>
      <c r="B11" s="310" t="s">
        <v>6</v>
      </c>
      <c r="C11" s="27" t="s">
        <v>68</v>
      </c>
      <c r="D11" s="20" t="s">
        <v>69</v>
      </c>
      <c r="E11" s="19">
        <v>12.1</v>
      </c>
      <c r="F11" s="329">
        <v>12</v>
      </c>
      <c r="G11" s="21">
        <v>1.69</v>
      </c>
      <c r="H11" s="328">
        <f t="shared" si="0"/>
        <v>2.4539</v>
      </c>
    </row>
    <row r="12" spans="1:9" s="10" customFormat="1" ht="16.5" customHeight="1">
      <c r="A12" s="27">
        <v>8</v>
      </c>
      <c r="B12" s="310" t="s">
        <v>78</v>
      </c>
      <c r="C12" s="27" t="s">
        <v>68</v>
      </c>
      <c r="D12" s="20" t="s">
        <v>69</v>
      </c>
      <c r="E12" s="19">
        <v>5.99</v>
      </c>
      <c r="F12" s="329">
        <v>12</v>
      </c>
      <c r="G12" s="21">
        <v>0.5</v>
      </c>
      <c r="H12" s="328">
        <f t="shared" si="0"/>
        <v>0.3594</v>
      </c>
    </row>
    <row r="13" spans="1:9" s="10" customFormat="1" ht="16.5" customHeight="1">
      <c r="A13" s="27">
        <v>9</v>
      </c>
      <c r="B13" s="310" t="s">
        <v>8</v>
      </c>
      <c r="C13" s="27" t="s">
        <v>68</v>
      </c>
      <c r="D13" s="20" t="s">
        <v>69</v>
      </c>
      <c r="E13" s="19">
        <v>9.15</v>
      </c>
      <c r="F13" s="329">
        <v>12</v>
      </c>
      <c r="G13" s="21">
        <v>1.37</v>
      </c>
      <c r="H13" s="328">
        <f t="shared" si="0"/>
        <v>1.5043</v>
      </c>
    </row>
    <row r="14" spans="1:9" s="10" customFormat="1" ht="16.5" customHeight="1">
      <c r="A14" s="27">
        <v>10</v>
      </c>
      <c r="B14" s="310" t="s">
        <v>82</v>
      </c>
      <c r="C14" s="27" t="s">
        <v>68</v>
      </c>
      <c r="D14" s="20" t="s">
        <v>69</v>
      </c>
      <c r="E14" s="19">
        <v>2.41</v>
      </c>
      <c r="F14" s="329">
        <v>12</v>
      </c>
      <c r="G14" s="21">
        <v>2.08</v>
      </c>
      <c r="H14" s="328">
        <f t="shared" si="0"/>
        <v>0.60150000000000003</v>
      </c>
    </row>
    <row r="15" spans="1:9" s="10" customFormat="1" ht="16.5" customHeight="1">
      <c r="A15" s="27">
        <v>11</v>
      </c>
      <c r="B15" s="317" t="s">
        <v>10</v>
      </c>
      <c r="C15" s="27" t="s">
        <v>68</v>
      </c>
      <c r="D15" s="20" t="s">
        <v>69</v>
      </c>
      <c r="E15" s="19">
        <v>4.32</v>
      </c>
      <c r="F15" s="329">
        <v>12</v>
      </c>
      <c r="G15" s="21">
        <v>1.5</v>
      </c>
      <c r="H15" s="328">
        <f t="shared" si="0"/>
        <v>0.77759999999999996</v>
      </c>
    </row>
    <row r="16" spans="1:9" s="10" customFormat="1" ht="16.5" customHeight="1">
      <c r="A16" s="27">
        <v>12</v>
      </c>
      <c r="B16" s="317" t="s">
        <v>11</v>
      </c>
      <c r="C16" s="27" t="s">
        <v>68</v>
      </c>
      <c r="D16" s="20" t="s">
        <v>69</v>
      </c>
      <c r="E16" s="19">
        <v>1.9</v>
      </c>
      <c r="F16" s="329">
        <v>12</v>
      </c>
      <c r="G16" s="21">
        <v>1.5</v>
      </c>
      <c r="H16" s="328">
        <f t="shared" si="0"/>
        <v>0.34200000000000003</v>
      </c>
    </row>
    <row r="17" spans="1:8" s="10" customFormat="1" ht="16.5" customHeight="1">
      <c r="A17" s="27">
        <v>13</v>
      </c>
      <c r="B17" s="310" t="s">
        <v>12</v>
      </c>
      <c r="C17" s="27" t="s">
        <v>68</v>
      </c>
      <c r="D17" s="20" t="s">
        <v>69</v>
      </c>
      <c r="E17" s="19">
        <v>5.95</v>
      </c>
      <c r="F17" s="329">
        <v>12</v>
      </c>
      <c r="G17" s="21">
        <v>2.1800000000000002</v>
      </c>
      <c r="H17" s="328">
        <f t="shared" si="0"/>
        <v>1.5565</v>
      </c>
    </row>
    <row r="18" spans="1:8" s="10" customFormat="1" ht="16.5" customHeight="1">
      <c r="A18" s="27">
        <v>14</v>
      </c>
      <c r="B18" s="310" t="s">
        <v>13</v>
      </c>
      <c r="C18" s="27" t="s">
        <v>68</v>
      </c>
      <c r="D18" s="20" t="s">
        <v>69</v>
      </c>
      <c r="E18" s="19">
        <v>6.38</v>
      </c>
      <c r="F18" s="329">
        <v>12</v>
      </c>
      <c r="G18" s="21">
        <v>1.89</v>
      </c>
      <c r="H18" s="328">
        <f t="shared" si="0"/>
        <v>1.4470000000000001</v>
      </c>
    </row>
    <row r="19" spans="1:8" s="10" customFormat="1" ht="16.5" customHeight="1">
      <c r="A19" s="27">
        <v>15</v>
      </c>
      <c r="B19" s="310" t="s">
        <v>83</v>
      </c>
      <c r="C19" s="27" t="s">
        <v>68</v>
      </c>
      <c r="D19" s="20" t="s">
        <v>69</v>
      </c>
      <c r="E19" s="19">
        <v>2.9</v>
      </c>
      <c r="F19" s="329">
        <v>12</v>
      </c>
      <c r="G19" s="21"/>
      <c r="H19" s="328">
        <f t="shared" si="0"/>
        <v>0</v>
      </c>
    </row>
    <row r="20" spans="1:8" s="10" customFormat="1" ht="16.5" customHeight="1">
      <c r="A20" s="27">
        <v>16</v>
      </c>
      <c r="B20" s="317" t="s">
        <v>15</v>
      </c>
      <c r="C20" s="27" t="s">
        <v>68</v>
      </c>
      <c r="D20" s="20" t="s">
        <v>69</v>
      </c>
      <c r="E20" s="19">
        <v>1.41</v>
      </c>
      <c r="F20" s="329">
        <v>12</v>
      </c>
      <c r="G20" s="21">
        <v>1.95</v>
      </c>
      <c r="H20" s="328">
        <f t="shared" si="0"/>
        <v>0.32990000000000003</v>
      </c>
    </row>
    <row r="21" spans="1:8" s="10" customFormat="1" ht="16.5" customHeight="1">
      <c r="A21" s="27">
        <v>17</v>
      </c>
      <c r="B21" s="317" t="s">
        <v>16</v>
      </c>
      <c r="C21" s="27" t="s">
        <v>68</v>
      </c>
      <c r="D21" s="20" t="s">
        <v>69</v>
      </c>
      <c r="E21" s="19">
        <v>15.71</v>
      </c>
      <c r="F21" s="329">
        <v>12</v>
      </c>
      <c r="G21" s="21"/>
      <c r="H21" s="328">
        <f t="shared" si="0"/>
        <v>0</v>
      </c>
    </row>
    <row r="22" spans="1:8" s="10" customFormat="1" ht="16.5" customHeight="1">
      <c r="A22" s="27">
        <v>18</v>
      </c>
      <c r="B22" s="310" t="s">
        <v>17</v>
      </c>
      <c r="C22" s="27" t="s">
        <v>68</v>
      </c>
      <c r="D22" s="20" t="s">
        <v>69</v>
      </c>
      <c r="E22" s="19">
        <v>19.829999999999998</v>
      </c>
      <c r="F22" s="329">
        <v>12</v>
      </c>
      <c r="G22" s="21">
        <v>2.25</v>
      </c>
      <c r="H22" s="328">
        <f t="shared" si="0"/>
        <v>5.3540999999999999</v>
      </c>
    </row>
    <row r="23" spans="1:8" s="10" customFormat="1" ht="16.5" customHeight="1">
      <c r="A23" s="27">
        <v>19</v>
      </c>
      <c r="B23" s="310" t="s">
        <v>84</v>
      </c>
      <c r="C23" s="27" t="s">
        <v>68</v>
      </c>
      <c r="D23" s="20" t="s">
        <v>69</v>
      </c>
      <c r="E23" s="19">
        <v>2.34</v>
      </c>
      <c r="F23" s="329">
        <v>12</v>
      </c>
      <c r="G23" s="21">
        <v>0.91</v>
      </c>
      <c r="H23" s="328">
        <f t="shared" si="0"/>
        <v>0.2555</v>
      </c>
    </row>
    <row r="24" spans="1:8" s="10" customFormat="1" ht="16.5" customHeight="1">
      <c r="A24" s="27">
        <v>20</v>
      </c>
      <c r="B24" s="310" t="s">
        <v>19</v>
      </c>
      <c r="C24" s="27" t="s">
        <v>68</v>
      </c>
      <c r="D24" s="20" t="s">
        <v>69</v>
      </c>
      <c r="E24" s="19">
        <v>3.19</v>
      </c>
      <c r="F24" s="329">
        <v>12</v>
      </c>
      <c r="G24" s="21">
        <v>1.03</v>
      </c>
      <c r="H24" s="328">
        <f t="shared" si="0"/>
        <v>0.39429999999999998</v>
      </c>
    </row>
    <row r="25" spans="1:8" ht="14.25">
      <c r="A25" s="27">
        <v>21</v>
      </c>
      <c r="B25" s="310" t="s">
        <v>20</v>
      </c>
      <c r="C25" s="27" t="s">
        <v>68</v>
      </c>
      <c r="D25" s="20" t="s">
        <v>69</v>
      </c>
      <c r="E25" s="8">
        <v>11.91</v>
      </c>
      <c r="F25" s="329">
        <v>12</v>
      </c>
      <c r="G25" s="331">
        <v>0.74</v>
      </c>
      <c r="H25" s="328">
        <f t="shared" si="0"/>
        <v>1.0576000000000001</v>
      </c>
    </row>
    <row r="26" spans="1:8" ht="14.25">
      <c r="A26" s="27">
        <v>22</v>
      </c>
      <c r="B26" s="310" t="s">
        <v>21</v>
      </c>
      <c r="C26" s="27" t="s">
        <v>68</v>
      </c>
      <c r="D26" s="20" t="s">
        <v>69</v>
      </c>
      <c r="E26" s="8">
        <v>13.36</v>
      </c>
      <c r="F26" s="329">
        <v>12</v>
      </c>
      <c r="G26" s="331">
        <v>1.1499999999999999</v>
      </c>
      <c r="H26" s="328">
        <f t="shared" si="0"/>
        <v>1.8436999999999999</v>
      </c>
    </row>
    <row r="27" spans="1:8" ht="14.25">
      <c r="A27" s="27">
        <v>23</v>
      </c>
      <c r="B27" s="20" t="s">
        <v>85</v>
      </c>
      <c r="C27" s="27" t="s">
        <v>68</v>
      </c>
      <c r="D27" s="20" t="s">
        <v>69</v>
      </c>
      <c r="E27" s="8">
        <v>4.67</v>
      </c>
      <c r="F27" s="329">
        <v>12</v>
      </c>
      <c r="G27" s="331">
        <v>0.85</v>
      </c>
      <c r="H27" s="328">
        <f t="shared" si="0"/>
        <v>0.4763</v>
      </c>
    </row>
    <row r="28" spans="1:8" ht="14.25">
      <c r="A28" s="27">
        <v>24</v>
      </c>
      <c r="B28" s="317" t="s">
        <v>55</v>
      </c>
      <c r="C28" s="27" t="s">
        <v>68</v>
      </c>
      <c r="D28" s="20" t="s">
        <v>69</v>
      </c>
      <c r="E28" s="8">
        <v>1.1100000000000001</v>
      </c>
      <c r="F28" s="329">
        <v>12</v>
      </c>
      <c r="G28" s="331">
        <v>2.96</v>
      </c>
      <c r="H28" s="328">
        <f t="shared" si="0"/>
        <v>0.39429999999999998</v>
      </c>
    </row>
    <row r="29" spans="1:8" ht="14.25">
      <c r="A29" s="27">
        <v>25</v>
      </c>
      <c r="B29" s="310" t="s">
        <v>23</v>
      </c>
      <c r="C29" s="27" t="s">
        <v>68</v>
      </c>
      <c r="D29" s="20" t="s">
        <v>69</v>
      </c>
      <c r="E29" s="8">
        <v>3.21</v>
      </c>
      <c r="F29" s="329">
        <v>12</v>
      </c>
      <c r="G29" s="331"/>
      <c r="H29" s="328">
        <f t="shared" si="0"/>
        <v>0</v>
      </c>
    </row>
    <row r="30" spans="1:8" ht="14.25">
      <c r="A30" s="27">
        <v>26</v>
      </c>
      <c r="B30" s="317" t="s">
        <v>24</v>
      </c>
      <c r="C30" s="27" t="s">
        <v>68</v>
      </c>
      <c r="D30" s="20" t="s">
        <v>69</v>
      </c>
      <c r="E30" s="8">
        <v>2.0299999999999998</v>
      </c>
      <c r="F30" s="329">
        <v>12</v>
      </c>
      <c r="G30" s="331"/>
      <c r="H30" s="328">
        <f t="shared" si="0"/>
        <v>0</v>
      </c>
    </row>
    <row r="31" spans="1:8" ht="14.25">
      <c r="A31" s="27">
        <v>27</v>
      </c>
      <c r="B31" s="317" t="s">
        <v>25</v>
      </c>
      <c r="C31" s="27" t="s">
        <v>68</v>
      </c>
      <c r="D31" s="20" t="s">
        <v>69</v>
      </c>
      <c r="E31" s="8">
        <v>3.31</v>
      </c>
      <c r="F31" s="329">
        <v>12</v>
      </c>
      <c r="G31" s="331"/>
      <c r="H31" s="328">
        <f t="shared" si="0"/>
        <v>0</v>
      </c>
    </row>
    <row r="32" spans="1:8" ht="14.25">
      <c r="A32" s="27">
        <v>28</v>
      </c>
      <c r="B32" s="317" t="s">
        <v>26</v>
      </c>
      <c r="C32" s="27" t="s">
        <v>68</v>
      </c>
      <c r="D32" s="20" t="s">
        <v>69</v>
      </c>
      <c r="E32" s="8">
        <v>9.2100000000000009</v>
      </c>
      <c r="F32" s="329">
        <v>12</v>
      </c>
      <c r="G32" s="331"/>
      <c r="H32" s="328">
        <f t="shared" si="0"/>
        <v>0</v>
      </c>
    </row>
    <row r="33" spans="1:8" ht="14.25">
      <c r="A33" s="27">
        <v>29</v>
      </c>
      <c r="B33" s="310" t="s">
        <v>27</v>
      </c>
      <c r="C33" s="27" t="s">
        <v>68</v>
      </c>
      <c r="D33" s="20" t="s">
        <v>69</v>
      </c>
      <c r="E33" s="8">
        <v>13.93</v>
      </c>
      <c r="F33" s="329">
        <v>12</v>
      </c>
      <c r="G33" s="331"/>
      <c r="H33" s="328">
        <f t="shared" si="0"/>
        <v>0</v>
      </c>
    </row>
    <row r="34" spans="1:8" ht="14.25">
      <c r="A34" s="27">
        <v>30</v>
      </c>
      <c r="B34" s="310" t="s">
        <v>79</v>
      </c>
      <c r="C34" s="27" t="s">
        <v>68</v>
      </c>
      <c r="D34" s="20" t="s">
        <v>69</v>
      </c>
      <c r="E34" s="8">
        <v>4.38</v>
      </c>
      <c r="F34" s="329">
        <v>12</v>
      </c>
      <c r="G34" s="331">
        <v>1.08</v>
      </c>
      <c r="H34" s="328">
        <f t="shared" si="0"/>
        <v>0.56759999999999999</v>
      </c>
    </row>
    <row r="35" spans="1:8" ht="14.25">
      <c r="A35" s="27">
        <v>31</v>
      </c>
      <c r="B35" s="310" t="s">
        <v>29</v>
      </c>
      <c r="C35" s="27" t="s">
        <v>68</v>
      </c>
      <c r="D35" s="20" t="s">
        <v>69</v>
      </c>
      <c r="E35" s="8">
        <v>6.08</v>
      </c>
      <c r="F35" s="329">
        <v>12</v>
      </c>
      <c r="G35" s="331">
        <v>1.97</v>
      </c>
      <c r="H35" s="328">
        <f t="shared" si="0"/>
        <v>1.4373</v>
      </c>
    </row>
    <row r="36" spans="1:8" ht="14.25">
      <c r="A36" s="27">
        <v>32</v>
      </c>
      <c r="B36" s="310" t="s">
        <v>30</v>
      </c>
      <c r="C36" s="27" t="s">
        <v>68</v>
      </c>
      <c r="D36" s="20" t="s">
        <v>69</v>
      </c>
      <c r="E36" s="8">
        <v>16.8</v>
      </c>
      <c r="F36" s="329">
        <v>12</v>
      </c>
      <c r="G36" s="331"/>
      <c r="H36" s="328">
        <f t="shared" si="0"/>
        <v>0</v>
      </c>
    </row>
    <row r="37" spans="1:8" ht="14.25">
      <c r="A37" s="27">
        <v>33</v>
      </c>
      <c r="B37" s="310" t="s">
        <v>31</v>
      </c>
      <c r="C37" s="27" t="s">
        <v>68</v>
      </c>
      <c r="D37" s="20" t="s">
        <v>69</v>
      </c>
      <c r="E37" s="8">
        <v>20.25</v>
      </c>
      <c r="F37" s="329">
        <v>12</v>
      </c>
      <c r="G37" s="331">
        <v>2.09</v>
      </c>
      <c r="H37" s="328">
        <f t="shared" si="0"/>
        <v>5.0787000000000004</v>
      </c>
    </row>
    <row r="38" spans="1:8" ht="14.25">
      <c r="A38" s="27">
        <v>34</v>
      </c>
      <c r="B38" s="317" t="s">
        <v>32</v>
      </c>
      <c r="C38" s="27" t="s">
        <v>68</v>
      </c>
      <c r="D38" s="20" t="s">
        <v>69</v>
      </c>
      <c r="E38" s="8">
        <v>2.16</v>
      </c>
      <c r="F38" s="329">
        <v>12</v>
      </c>
      <c r="G38" s="331">
        <v>1.95</v>
      </c>
      <c r="H38" s="328">
        <f t="shared" si="0"/>
        <v>0.50539999999999996</v>
      </c>
    </row>
    <row r="39" spans="1:8" ht="14.25">
      <c r="A39" s="27">
        <v>35</v>
      </c>
      <c r="B39" s="317" t="s">
        <v>33</v>
      </c>
      <c r="C39" s="27" t="s">
        <v>68</v>
      </c>
      <c r="D39" s="20" t="s">
        <v>69</v>
      </c>
      <c r="E39" s="8">
        <v>2.19</v>
      </c>
      <c r="F39" s="329">
        <v>12</v>
      </c>
      <c r="G39" s="331"/>
      <c r="H39" s="328">
        <f t="shared" si="0"/>
        <v>0</v>
      </c>
    </row>
    <row r="40" spans="1:8" ht="14.25">
      <c r="A40" s="27">
        <v>36</v>
      </c>
      <c r="B40" s="310" t="s">
        <v>34</v>
      </c>
      <c r="C40" s="27" t="s">
        <v>68</v>
      </c>
      <c r="D40" s="20" t="s">
        <v>69</v>
      </c>
      <c r="E40" s="8">
        <v>10.67</v>
      </c>
      <c r="F40" s="329">
        <v>12</v>
      </c>
      <c r="G40" s="331">
        <v>1.78</v>
      </c>
      <c r="H40" s="328">
        <f t="shared" si="0"/>
        <v>2.2791000000000001</v>
      </c>
    </row>
    <row r="41" spans="1:8" ht="14.25">
      <c r="A41" s="27">
        <v>37</v>
      </c>
      <c r="B41" s="317" t="s">
        <v>35</v>
      </c>
      <c r="C41" s="27" t="s">
        <v>68</v>
      </c>
      <c r="D41" s="20" t="s">
        <v>69</v>
      </c>
      <c r="E41" s="8">
        <v>3.52</v>
      </c>
      <c r="F41" s="329">
        <v>12</v>
      </c>
      <c r="G41" s="331"/>
      <c r="H41" s="328">
        <f t="shared" si="0"/>
        <v>0</v>
      </c>
    </row>
    <row r="42" spans="1:8" ht="14.25">
      <c r="A42" s="27">
        <v>38</v>
      </c>
      <c r="B42" s="317" t="s">
        <v>36</v>
      </c>
      <c r="C42" s="27" t="s">
        <v>68</v>
      </c>
      <c r="D42" s="20" t="s">
        <v>69</v>
      </c>
      <c r="E42" s="8">
        <v>2.14</v>
      </c>
      <c r="F42" s="329">
        <v>12</v>
      </c>
      <c r="G42" s="331">
        <v>1.5</v>
      </c>
      <c r="H42" s="328">
        <f t="shared" si="0"/>
        <v>0.38519999999999999</v>
      </c>
    </row>
    <row r="43" spans="1:8" ht="14.25">
      <c r="A43" s="27">
        <v>39</v>
      </c>
      <c r="B43" s="310" t="s">
        <v>37</v>
      </c>
      <c r="C43" s="27" t="s">
        <v>68</v>
      </c>
      <c r="D43" s="20" t="s">
        <v>69</v>
      </c>
      <c r="E43" s="8">
        <v>15.5</v>
      </c>
      <c r="F43" s="329">
        <v>12</v>
      </c>
      <c r="G43" s="331">
        <v>0.99</v>
      </c>
      <c r="H43" s="328">
        <f t="shared" si="0"/>
        <v>1.8413999999999999</v>
      </c>
    </row>
    <row r="44" spans="1:8" ht="14.25">
      <c r="A44" s="27">
        <v>40</v>
      </c>
      <c r="B44" s="310" t="s">
        <v>80</v>
      </c>
      <c r="C44" s="27" t="s">
        <v>68</v>
      </c>
      <c r="D44" s="20" t="s">
        <v>69</v>
      </c>
      <c r="E44" s="8">
        <v>3.41</v>
      </c>
      <c r="F44" s="329">
        <v>12</v>
      </c>
      <c r="G44" s="331">
        <v>1.85</v>
      </c>
      <c r="H44" s="328">
        <f t="shared" si="0"/>
        <v>0.75700000000000001</v>
      </c>
    </row>
    <row r="45" spans="1:8" ht="14.25">
      <c r="A45" s="27">
        <v>41</v>
      </c>
      <c r="B45" s="317" t="s">
        <v>39</v>
      </c>
      <c r="C45" s="27" t="s">
        <v>68</v>
      </c>
      <c r="D45" s="20" t="s">
        <v>69</v>
      </c>
      <c r="E45" s="8">
        <v>0.62</v>
      </c>
      <c r="F45" s="329">
        <v>12</v>
      </c>
      <c r="G45" s="331"/>
      <c r="H45" s="328">
        <f t="shared" si="0"/>
        <v>0</v>
      </c>
    </row>
    <row r="46" spans="1:8" ht="14.25">
      <c r="A46" s="27">
        <v>42</v>
      </c>
      <c r="B46" s="317" t="s">
        <v>40</v>
      </c>
      <c r="C46" s="27" t="s">
        <v>68</v>
      </c>
      <c r="D46" s="20" t="s">
        <v>69</v>
      </c>
      <c r="E46" s="8">
        <v>8.32</v>
      </c>
      <c r="F46" s="329">
        <v>12</v>
      </c>
      <c r="G46" s="331">
        <v>0.98</v>
      </c>
      <c r="H46" s="328">
        <f t="shared" si="0"/>
        <v>0.97840000000000005</v>
      </c>
    </row>
    <row r="47" spans="1:8" ht="14.25">
      <c r="A47" s="27">
        <v>43</v>
      </c>
      <c r="B47" s="317" t="s">
        <v>41</v>
      </c>
      <c r="C47" s="27" t="s">
        <v>68</v>
      </c>
      <c r="D47" s="20" t="s">
        <v>69</v>
      </c>
      <c r="E47" s="8">
        <v>6.01</v>
      </c>
      <c r="F47" s="329">
        <v>12</v>
      </c>
      <c r="G47" s="331"/>
      <c r="H47" s="328">
        <f t="shared" si="0"/>
        <v>0</v>
      </c>
    </row>
    <row r="48" spans="1:8" ht="14.25">
      <c r="A48" s="27">
        <v>44</v>
      </c>
      <c r="B48" s="310" t="s">
        <v>42</v>
      </c>
      <c r="C48" s="27" t="s">
        <v>68</v>
      </c>
      <c r="D48" s="20" t="s">
        <v>69</v>
      </c>
      <c r="E48" s="8">
        <v>4.5199999999999996</v>
      </c>
      <c r="F48" s="329">
        <v>12</v>
      </c>
      <c r="G48" s="331">
        <v>0.5</v>
      </c>
      <c r="H48" s="328">
        <f t="shared" si="0"/>
        <v>0.2712</v>
      </c>
    </row>
    <row r="49" spans="1:8">
      <c r="A49" s="310"/>
      <c r="B49" s="310"/>
      <c r="C49" s="310"/>
      <c r="D49" s="310"/>
      <c r="E49" s="8">
        <f>SUM(E5:E48)</f>
        <v>318.25000000000006</v>
      </c>
      <c r="F49" s="332">
        <f>AVERAGE(F5:F48)</f>
        <v>12</v>
      </c>
      <c r="G49" s="332">
        <v>1.37</v>
      </c>
      <c r="H49" s="328">
        <f t="shared" si="0"/>
        <v>52.320300000000003</v>
      </c>
    </row>
    <row r="50" spans="1:8" ht="29.25" customHeight="1">
      <c r="A50" s="433" t="s">
        <v>359</v>
      </c>
      <c r="B50" s="433"/>
      <c r="C50" s="433"/>
      <c r="D50" s="433"/>
      <c r="E50" s="433"/>
      <c r="F50" s="433"/>
      <c r="G50" s="433"/>
      <c r="H50" s="433"/>
    </row>
  </sheetData>
  <mergeCells count="2">
    <mergeCell ref="A50:H50"/>
    <mergeCell ref="A1:H1"/>
  </mergeCells>
  <printOptions horizontalCentered="1"/>
  <pageMargins left="0.5" right="0.5" top="1.25" bottom="0.25" header="0.5" footer="0.5"/>
  <pageSetup paperSize="9" orientation="landscape" horizontalDpi="180" verticalDpi="180" r:id="rId1"/>
  <headerFooter alignWithMargins="0"/>
  <ignoredErrors>
    <ignoredError sqref="E4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0"/>
  <sheetViews>
    <sheetView view="pageBreakPreview" zoomScaleNormal="100" zoomScaleSheetLayoutView="100" workbookViewId="0">
      <selection activeCell="BV11" sqref="BV11:BW11"/>
    </sheetView>
  </sheetViews>
  <sheetFormatPr defaultRowHeight="12.75"/>
  <cols>
    <col min="1" max="1" width="5.140625" style="4" bestFit="1" customWidth="1"/>
    <col min="2" max="2" width="9.28515625" style="4" bestFit="1" customWidth="1"/>
    <col min="3" max="3" width="9.85546875" style="4" customWidth="1"/>
    <col min="4" max="4" width="12.140625" style="4" bestFit="1" customWidth="1"/>
    <col min="5" max="5" width="6.5703125" style="4" bestFit="1" customWidth="1"/>
    <col min="6" max="6" width="5.5703125" style="4" bestFit="1" customWidth="1"/>
    <col min="7" max="7" width="9" style="4" bestFit="1" customWidth="1"/>
    <col min="8" max="8" width="7.28515625" style="4" customWidth="1"/>
    <col min="9" max="9" width="11.85546875" style="4" bestFit="1" customWidth="1"/>
    <col min="10" max="11" width="5.7109375" style="4" bestFit="1" customWidth="1"/>
    <col min="12" max="12" width="4.85546875" style="4" bestFit="1" customWidth="1"/>
    <col min="13" max="13" width="5.7109375" style="4" bestFit="1" customWidth="1"/>
    <col min="14" max="14" width="8" style="4" bestFit="1" customWidth="1"/>
    <col min="15" max="15" width="8.140625" style="4" bestFit="1" customWidth="1"/>
    <col min="16" max="16" width="6.5703125" style="4" bestFit="1" customWidth="1"/>
    <col min="17" max="16384" width="9.140625" style="4"/>
  </cols>
  <sheetData>
    <row r="2" spans="1:17" ht="15.75">
      <c r="A2" s="450" t="s">
        <v>515</v>
      </c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</row>
    <row r="3" spans="1:17" ht="15.75">
      <c r="A3" s="450" t="s">
        <v>516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</row>
    <row r="4" spans="1:17">
      <c r="A4" s="132"/>
      <c r="B4" s="132"/>
      <c r="C4" s="132"/>
      <c r="D4" s="132"/>
      <c r="E4" s="133"/>
      <c r="F4" s="133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ht="63.75">
      <c r="A5" s="134" t="s">
        <v>505</v>
      </c>
      <c r="B5" s="134" t="s">
        <v>101</v>
      </c>
      <c r="C5" s="134" t="s">
        <v>607</v>
      </c>
      <c r="D5" s="134" t="s">
        <v>517</v>
      </c>
      <c r="E5" s="451" t="s">
        <v>518</v>
      </c>
      <c r="F5" s="452"/>
      <c r="G5" s="134" t="s">
        <v>606</v>
      </c>
      <c r="H5" s="134" t="s">
        <v>519</v>
      </c>
      <c r="I5" s="134" t="s">
        <v>520</v>
      </c>
      <c r="J5" s="451" t="s">
        <v>521</v>
      </c>
      <c r="K5" s="453"/>
      <c r="L5" s="453"/>
      <c r="M5" s="452"/>
      <c r="N5" s="451" t="s">
        <v>608</v>
      </c>
      <c r="O5" s="453"/>
      <c r="P5" s="452"/>
      <c r="Q5" s="134" t="s">
        <v>529</v>
      </c>
    </row>
    <row r="6" spans="1:17">
      <c r="A6" s="135"/>
      <c r="B6" s="135"/>
      <c r="C6" s="136"/>
      <c r="D6" s="136"/>
      <c r="E6" s="137" t="s">
        <v>522</v>
      </c>
      <c r="F6" s="137" t="s">
        <v>523</v>
      </c>
      <c r="G6" s="136"/>
      <c r="H6" s="136"/>
      <c r="I6" s="136"/>
      <c r="J6" s="138" t="s">
        <v>148</v>
      </c>
      <c r="K6" s="138" t="s">
        <v>138</v>
      </c>
      <c r="L6" s="138" t="s">
        <v>528</v>
      </c>
      <c r="M6" s="138" t="s">
        <v>524</v>
      </c>
      <c r="N6" s="138" t="s">
        <v>525</v>
      </c>
      <c r="O6" s="139" t="s">
        <v>526</v>
      </c>
      <c r="P6" s="139" t="s">
        <v>524</v>
      </c>
      <c r="Q6" s="136"/>
    </row>
    <row r="7" spans="1:17">
      <c r="A7" s="140"/>
      <c r="B7" s="141"/>
      <c r="C7" s="141"/>
      <c r="D7" s="142"/>
      <c r="E7" s="143"/>
      <c r="F7" s="143"/>
      <c r="G7" s="141"/>
      <c r="H7" s="141"/>
      <c r="I7" s="142"/>
      <c r="J7" s="141"/>
      <c r="K7" s="141"/>
      <c r="L7" s="141"/>
      <c r="M7" s="141"/>
      <c r="N7" s="142"/>
      <c r="O7" s="142"/>
      <c r="P7" s="142"/>
      <c r="Q7" s="144"/>
    </row>
    <row r="8" spans="1:17">
      <c r="A8" s="269">
        <v>1</v>
      </c>
      <c r="B8" s="270" t="s">
        <v>527</v>
      </c>
      <c r="C8" s="269" t="s">
        <v>493</v>
      </c>
      <c r="D8" s="271">
        <f>'ASS June2017'!BA8</f>
        <v>318.25</v>
      </c>
      <c r="E8" s="271">
        <f>'WaterLevel 12-16'!T88</f>
        <v>20.2</v>
      </c>
      <c r="F8" s="271">
        <f>'WaterLevel 12-16'!V88</f>
        <v>21.571866666666676</v>
      </c>
      <c r="G8" s="272">
        <v>1.37</v>
      </c>
      <c r="H8" s="273">
        <v>0.12</v>
      </c>
      <c r="I8" s="273">
        <f>(D8*G8*H8)</f>
        <v>52.320300000000003</v>
      </c>
      <c r="J8" s="274">
        <f>'Crop Water'!F19</f>
        <v>46.681660000000001</v>
      </c>
      <c r="K8" s="274">
        <f>'Crop Water'!F11</f>
        <v>5.6661869999999999</v>
      </c>
      <c r="L8" s="274">
        <f>'Crop Water'!F24</f>
        <v>1.1596421659023646</v>
      </c>
      <c r="M8" s="275">
        <f>SUM(J8:L8)</f>
        <v>53.507489165902363</v>
      </c>
      <c r="N8" s="273">
        <f>'Draft Irri-V'!J136</f>
        <v>41.530799999999985</v>
      </c>
      <c r="O8" s="273">
        <f>'Dom Draft IV'!J136</f>
        <v>6.3564750000000005</v>
      </c>
      <c r="P8" s="276">
        <f>(N8+O8)</f>
        <v>47.887274999999988</v>
      </c>
      <c r="Q8" s="276">
        <f>M8</f>
        <v>53.507489165902363</v>
      </c>
    </row>
    <row r="10" spans="1:17">
      <c r="I10" s="61"/>
      <c r="M10" s="48"/>
    </row>
  </sheetData>
  <mergeCells count="5">
    <mergeCell ref="A2:Q2"/>
    <mergeCell ref="A3:Q3"/>
    <mergeCell ref="E5:F5"/>
    <mergeCell ref="J5:M5"/>
    <mergeCell ref="N5:P5"/>
  </mergeCells>
  <printOptions horizontalCentered="1"/>
  <pageMargins left="1" right="0.5" top="0.75" bottom="0.25" header="0.33958333333333302" footer="0.359722222222222"/>
  <pageSetup paperSize="9" orientation="landscape" horizontalDpi="180" verticalDpi="18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="85" zoomScaleNormal="100" zoomScaleSheetLayoutView="85" workbookViewId="0">
      <selection activeCell="H15" sqref="H15"/>
    </sheetView>
  </sheetViews>
  <sheetFormatPr defaultColWidth="8.85546875" defaultRowHeight="12.75"/>
  <cols>
    <col min="1" max="1" width="11.5703125" style="110" bestFit="1" customWidth="1"/>
    <col min="2" max="7" width="12.28515625" style="110" customWidth="1"/>
    <col min="8" max="8" width="16" style="110" customWidth="1"/>
    <col min="9" max="11" width="12.28515625" style="110" customWidth="1"/>
    <col min="12" max="16384" width="8.85546875" style="90"/>
  </cols>
  <sheetData>
    <row r="1" spans="1:11">
      <c r="J1" s="85" t="s">
        <v>469</v>
      </c>
    </row>
    <row r="2" spans="1:11" ht="15.75">
      <c r="A2" s="454" t="s">
        <v>470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1" ht="15.75">
      <c r="A3" s="455" t="s">
        <v>471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</row>
    <row r="4" spans="1:11">
      <c r="A4" s="84" t="s">
        <v>57</v>
      </c>
      <c r="B4" s="83" t="s">
        <v>472</v>
      </c>
      <c r="C4" s="83" t="s">
        <v>473</v>
      </c>
      <c r="D4" s="83" t="s">
        <v>474</v>
      </c>
      <c r="E4" s="83" t="s">
        <v>474</v>
      </c>
      <c r="F4" s="456" t="s">
        <v>475</v>
      </c>
      <c r="G4" s="459" t="s">
        <v>476</v>
      </c>
      <c r="H4" s="460"/>
      <c r="I4" s="460"/>
      <c r="J4" s="461"/>
      <c r="K4" s="462" t="s">
        <v>477</v>
      </c>
    </row>
    <row r="5" spans="1:11">
      <c r="A5" s="82"/>
      <c r="B5" s="81" t="s">
        <v>101</v>
      </c>
      <c r="C5" s="81" t="s">
        <v>478</v>
      </c>
      <c r="D5" s="81" t="s">
        <v>479</v>
      </c>
      <c r="E5" s="81" t="s">
        <v>479</v>
      </c>
      <c r="F5" s="457"/>
      <c r="G5" s="83" t="s">
        <v>480</v>
      </c>
      <c r="H5" s="83" t="s">
        <v>481</v>
      </c>
      <c r="I5" s="83" t="s">
        <v>482</v>
      </c>
      <c r="J5" s="83" t="s">
        <v>483</v>
      </c>
      <c r="K5" s="463"/>
    </row>
    <row r="6" spans="1:11">
      <c r="A6" s="82"/>
      <c r="B6" s="81" t="s">
        <v>484</v>
      </c>
      <c r="C6" s="81"/>
      <c r="D6" s="81"/>
      <c r="E6" s="81" t="s">
        <v>485</v>
      </c>
      <c r="F6" s="457"/>
      <c r="G6" s="81"/>
      <c r="H6" s="81" t="s">
        <v>486</v>
      </c>
      <c r="I6" s="81" t="s">
        <v>487</v>
      </c>
      <c r="J6" s="81" t="s">
        <v>488</v>
      </c>
      <c r="K6" s="463"/>
    </row>
    <row r="7" spans="1:11">
      <c r="A7" s="80"/>
      <c r="B7" s="79"/>
      <c r="C7" s="79"/>
      <c r="D7" s="79"/>
      <c r="E7" s="79" t="s">
        <v>489</v>
      </c>
      <c r="F7" s="458"/>
      <c r="G7" s="79"/>
      <c r="H7" s="79" t="s">
        <v>490</v>
      </c>
      <c r="I7" s="79" t="s">
        <v>424</v>
      </c>
      <c r="J7" s="79" t="s">
        <v>491</v>
      </c>
      <c r="K7" s="464"/>
    </row>
    <row r="8" spans="1:11" s="190" customFormat="1" ht="21.75" customHeight="1">
      <c r="A8" s="210" t="s">
        <v>192</v>
      </c>
      <c r="B8" s="77">
        <v>318.25</v>
      </c>
      <c r="C8" s="78" t="s">
        <v>492</v>
      </c>
      <c r="D8" s="77" t="s">
        <v>493</v>
      </c>
      <c r="E8" s="77">
        <f>B8-G18</f>
        <v>299.02</v>
      </c>
      <c r="F8" s="76"/>
      <c r="G8" s="75" t="s">
        <v>494</v>
      </c>
      <c r="H8" s="75"/>
      <c r="I8" s="75"/>
      <c r="J8" s="75"/>
      <c r="K8" s="77">
        <f>'ASS June2017'!BH8</f>
        <v>237.63</v>
      </c>
    </row>
    <row r="9" spans="1:11" ht="12" customHeight="1">
      <c r="A9" s="74"/>
      <c r="B9" s="80"/>
      <c r="C9" s="206"/>
      <c r="D9" s="207" t="s">
        <v>101</v>
      </c>
      <c r="E9" s="206"/>
      <c r="F9" s="206"/>
      <c r="G9" s="208" t="s">
        <v>494</v>
      </c>
      <c r="H9" s="208"/>
      <c r="I9" s="208"/>
      <c r="J9" s="208"/>
      <c r="K9" s="209">
        <f>K8</f>
        <v>237.63</v>
      </c>
    </row>
    <row r="10" spans="1:11" ht="12" customHeight="1"/>
    <row r="13" spans="1:11">
      <c r="E13" s="73"/>
      <c r="F13" s="73" t="s">
        <v>495</v>
      </c>
      <c r="G13" s="73">
        <v>318.25</v>
      </c>
    </row>
    <row r="14" spans="1:11">
      <c r="E14" s="465" t="s">
        <v>496</v>
      </c>
      <c r="F14" s="73" t="s">
        <v>497</v>
      </c>
      <c r="G14" s="73">
        <v>1.07</v>
      </c>
      <c r="H14" s="113">
        <f>G14/G13%</f>
        <v>0.33621366849960721</v>
      </c>
    </row>
    <row r="15" spans="1:11">
      <c r="E15" s="465"/>
      <c r="F15" s="73" t="s">
        <v>498</v>
      </c>
      <c r="G15" s="73">
        <v>4.9800000000000004</v>
      </c>
      <c r="H15" s="113">
        <f>G15/G13%</f>
        <v>1.5648075412411626</v>
      </c>
    </row>
    <row r="16" spans="1:11">
      <c r="E16" s="465"/>
      <c r="F16" s="73" t="s">
        <v>499</v>
      </c>
      <c r="G16" s="73">
        <v>5.8</v>
      </c>
      <c r="H16" s="113">
        <f>G16/G13%</f>
        <v>1.8224666142969363</v>
      </c>
    </row>
    <row r="17" spans="5:8">
      <c r="E17" s="465"/>
      <c r="F17" s="73" t="s">
        <v>500</v>
      </c>
      <c r="G17" s="73">
        <v>7.38</v>
      </c>
      <c r="H17" s="113">
        <f>G17/G13%</f>
        <v>2.3189316575019636</v>
      </c>
    </row>
    <row r="18" spans="5:8">
      <c r="E18" s="73"/>
      <c r="F18" s="73"/>
      <c r="G18" s="73">
        <f>SUM(G14:G17)</f>
        <v>19.23</v>
      </c>
      <c r="H18" s="113">
        <f>G18/G13%</f>
        <v>6.0424194815396701</v>
      </c>
    </row>
    <row r="19" spans="5:8">
      <c r="E19" s="73"/>
      <c r="F19" s="73" t="s">
        <v>501</v>
      </c>
      <c r="G19" s="73">
        <f>G13-G18</f>
        <v>299.02</v>
      </c>
      <c r="H19" s="113">
        <f>G19/G13%</f>
        <v>93.957580518460318</v>
      </c>
    </row>
  </sheetData>
  <mergeCells count="6">
    <mergeCell ref="A2:K2"/>
    <mergeCell ref="A3:K3"/>
    <mergeCell ref="F4:F7"/>
    <mergeCell ref="G4:J4"/>
    <mergeCell ref="K4:K7"/>
    <mergeCell ref="E14:E17"/>
  </mergeCells>
  <pageMargins left="0" right="1" top="0.5" bottom="0.5" header="0.5" footer="0.5"/>
  <pageSetup paperSize="9" scale="94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view="pageBreakPreview" zoomScale="85" zoomScaleNormal="100" zoomScaleSheetLayoutView="85" workbookViewId="0">
      <pane ySplit="1" topLeftCell="A2" activePane="bottomLeft" state="frozen"/>
      <selection activeCell="BV11" sqref="BV11:BW11"/>
      <selection pane="bottomLeft" activeCell="BV11" sqref="BV11:BW11"/>
    </sheetView>
  </sheetViews>
  <sheetFormatPr defaultRowHeight="12"/>
  <cols>
    <col min="1" max="1" width="5.28515625" style="50" customWidth="1"/>
    <col min="2" max="2" width="15.42578125" style="51" bestFit="1" customWidth="1"/>
    <col min="3" max="3" width="23.140625" style="51" hidden="1" customWidth="1"/>
    <col min="4" max="4" width="10.85546875" style="52" hidden="1" customWidth="1"/>
    <col min="5" max="5" width="11.85546875" style="52" hidden="1" customWidth="1"/>
    <col min="6" max="6" width="6.28515625" style="50" hidden="1" customWidth="1"/>
    <col min="7" max="16" width="6.28515625" style="50" customWidth="1"/>
    <col min="17" max="17" width="6.28515625" style="49" customWidth="1"/>
    <col min="18" max="25" width="6.140625" style="49" bestFit="1" customWidth="1"/>
    <col min="26" max="26" width="5.85546875" style="49" bestFit="1" customWidth="1"/>
    <col min="27" max="27" width="6.140625" style="49" bestFit="1" customWidth="1"/>
    <col min="28" max="16384" width="9.140625" style="49"/>
  </cols>
  <sheetData>
    <row r="1" spans="1:27" s="351" customFormat="1" ht="30.6" customHeight="1">
      <c r="A1" s="467" t="s">
        <v>156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</row>
    <row r="2" spans="1:27" s="335" customFormat="1" ht="19.149999999999999" customHeight="1">
      <c r="A2" s="466" t="s">
        <v>157</v>
      </c>
      <c r="B2" s="466" t="s">
        <v>609</v>
      </c>
      <c r="C2" s="466" t="s">
        <v>159</v>
      </c>
      <c r="D2" s="466" t="str">
        <f>'[1]wl2006-2011'!F1:F2</f>
        <v>Longitude</v>
      </c>
      <c r="E2" s="466"/>
      <c r="F2" s="466" t="s">
        <v>160</v>
      </c>
      <c r="G2" s="350">
        <v>2007</v>
      </c>
      <c r="H2" s="350">
        <v>2008</v>
      </c>
      <c r="I2" s="350">
        <v>2009</v>
      </c>
      <c r="J2" s="350">
        <v>2010</v>
      </c>
      <c r="K2" s="350">
        <v>2011</v>
      </c>
      <c r="L2" s="350">
        <v>2012</v>
      </c>
      <c r="M2" s="350">
        <v>2013</v>
      </c>
      <c r="N2" s="350">
        <v>2014</v>
      </c>
      <c r="O2" s="350">
        <v>2015</v>
      </c>
      <c r="P2" s="350">
        <v>2016</v>
      </c>
      <c r="Q2" s="334"/>
      <c r="R2" s="350">
        <v>2007</v>
      </c>
      <c r="S2" s="350">
        <v>2008</v>
      </c>
      <c r="T2" s="350">
        <v>2009</v>
      </c>
      <c r="U2" s="350">
        <v>2010</v>
      </c>
      <c r="V2" s="350">
        <v>2011</v>
      </c>
      <c r="W2" s="350">
        <v>2012</v>
      </c>
      <c r="X2" s="350">
        <v>2013</v>
      </c>
      <c r="Y2" s="350">
        <v>2014</v>
      </c>
      <c r="Z2" s="350">
        <v>2015</v>
      </c>
      <c r="AA2" s="350">
        <v>2016</v>
      </c>
    </row>
    <row r="3" spans="1:27" s="335" customFormat="1" ht="19.149999999999999" customHeight="1">
      <c r="A3" s="466"/>
      <c r="B3" s="466"/>
      <c r="C3" s="466"/>
      <c r="D3" s="333" t="s">
        <v>161</v>
      </c>
      <c r="E3" s="333" t="s">
        <v>162</v>
      </c>
      <c r="F3" s="466"/>
      <c r="G3" s="336" t="s">
        <v>163</v>
      </c>
      <c r="H3" s="336" t="s">
        <v>163</v>
      </c>
      <c r="I3" s="336" t="s">
        <v>163</v>
      </c>
      <c r="J3" s="336" t="s">
        <v>163</v>
      </c>
      <c r="K3" s="336" t="s">
        <v>163</v>
      </c>
      <c r="L3" s="336" t="s">
        <v>163</v>
      </c>
      <c r="M3" s="336" t="s">
        <v>163</v>
      </c>
      <c r="N3" s="336" t="s">
        <v>163</v>
      </c>
      <c r="O3" s="336" t="s">
        <v>163</v>
      </c>
      <c r="P3" s="336" t="s">
        <v>163</v>
      </c>
      <c r="R3" s="336" t="s">
        <v>164</v>
      </c>
      <c r="S3" s="336" t="s">
        <v>164</v>
      </c>
      <c r="T3" s="336" t="s">
        <v>164</v>
      </c>
      <c r="U3" s="336" t="s">
        <v>164</v>
      </c>
      <c r="V3" s="336" t="s">
        <v>164</v>
      </c>
      <c r="W3" s="336" t="s">
        <v>164</v>
      </c>
      <c r="X3" s="336" t="s">
        <v>164</v>
      </c>
      <c r="Y3" s="336" t="s">
        <v>164</v>
      </c>
      <c r="Z3" s="336" t="s">
        <v>164</v>
      </c>
      <c r="AA3" s="336" t="s">
        <v>164</v>
      </c>
    </row>
    <row r="4" spans="1:27" s="335" customFormat="1" ht="27" customHeight="1">
      <c r="A4" s="337">
        <v>1</v>
      </c>
      <c r="B4" s="338" t="s">
        <v>3</v>
      </c>
      <c r="C4" s="338" t="s">
        <v>169</v>
      </c>
      <c r="D4" s="339" t="s">
        <v>170</v>
      </c>
      <c r="E4" s="339" t="s">
        <v>171</v>
      </c>
      <c r="F4" s="340">
        <v>23</v>
      </c>
      <c r="G4" s="341">
        <v>18.68</v>
      </c>
      <c r="H4" s="341">
        <v>24.55</v>
      </c>
      <c r="I4" s="341">
        <v>26.46</v>
      </c>
      <c r="J4" s="341">
        <v>29.3</v>
      </c>
      <c r="K4" s="341">
        <v>20.170000000000002</v>
      </c>
      <c r="L4" s="271">
        <v>20.420000000000002</v>
      </c>
      <c r="M4" s="271">
        <v>16.95</v>
      </c>
      <c r="N4" s="271">
        <v>17.25</v>
      </c>
      <c r="O4" s="271">
        <v>19.02</v>
      </c>
      <c r="P4" s="342">
        <v>19.100000000000001</v>
      </c>
      <c r="R4" s="341">
        <v>18.5</v>
      </c>
      <c r="S4" s="341">
        <v>24.45</v>
      </c>
      <c r="T4" s="341">
        <v>27.65</v>
      </c>
      <c r="U4" s="341">
        <v>30.35</v>
      </c>
      <c r="V4" s="341">
        <v>16.48</v>
      </c>
      <c r="W4" s="271">
        <v>16.25</v>
      </c>
      <c r="X4" s="271">
        <v>17.13</v>
      </c>
      <c r="Y4" s="271">
        <v>16.25</v>
      </c>
      <c r="Z4" s="341">
        <v>18.05</v>
      </c>
      <c r="AA4" s="343">
        <v>17.100000000000001</v>
      </c>
    </row>
    <row r="5" spans="1:27" s="335" customFormat="1" ht="27" customHeight="1">
      <c r="A5" s="337">
        <v>2</v>
      </c>
      <c r="B5" s="338" t="s">
        <v>21</v>
      </c>
      <c r="C5" s="338" t="s">
        <v>166</v>
      </c>
      <c r="D5" s="339" t="s">
        <v>178</v>
      </c>
      <c r="E5" s="339" t="s">
        <v>179</v>
      </c>
      <c r="F5" s="341">
        <v>80</v>
      </c>
      <c r="G5" s="341">
        <v>23.45</v>
      </c>
      <c r="H5" s="341">
        <v>24.95</v>
      </c>
      <c r="I5" s="341">
        <v>25.9</v>
      </c>
      <c r="J5" s="341">
        <v>29.45</v>
      </c>
      <c r="K5" s="341">
        <v>32.549999999999997</v>
      </c>
      <c r="L5" s="271">
        <v>35.47</v>
      </c>
      <c r="M5" s="271">
        <v>36.9</v>
      </c>
      <c r="N5" s="271">
        <v>38.130000000000003</v>
      </c>
      <c r="O5" s="271">
        <v>40.130000000000003</v>
      </c>
      <c r="P5" s="342">
        <v>43.25</v>
      </c>
      <c r="R5" s="341">
        <v>22.25</v>
      </c>
      <c r="S5" s="341">
        <v>24.14</v>
      </c>
      <c r="T5" s="341">
        <v>26.45</v>
      </c>
      <c r="U5" s="341">
        <v>28.95</v>
      </c>
      <c r="V5" s="341">
        <v>32.35</v>
      </c>
      <c r="W5" s="271">
        <v>36.1</v>
      </c>
      <c r="X5" s="271">
        <v>36.85</v>
      </c>
      <c r="Y5" s="271">
        <v>37.1</v>
      </c>
      <c r="Z5" s="341">
        <v>39.6</v>
      </c>
      <c r="AA5" s="343">
        <v>42.1</v>
      </c>
    </row>
    <row r="6" spans="1:27" s="335" customFormat="1" ht="27" customHeight="1">
      <c r="A6" s="337">
        <v>3</v>
      </c>
      <c r="B6" s="338" t="s">
        <v>13</v>
      </c>
      <c r="C6" s="338" t="s">
        <v>186</v>
      </c>
      <c r="D6" s="339" t="s">
        <v>187</v>
      </c>
      <c r="E6" s="339" t="s">
        <v>188</v>
      </c>
      <c r="F6" s="341">
        <v>26.15</v>
      </c>
      <c r="G6" s="341">
        <v>19.25</v>
      </c>
      <c r="H6" s="341">
        <v>19.350000000000001</v>
      </c>
      <c r="I6" s="341">
        <v>20.23</v>
      </c>
      <c r="J6" s="341">
        <v>19.2</v>
      </c>
      <c r="K6" s="341">
        <v>18.739999999999998</v>
      </c>
      <c r="L6" s="271">
        <v>18.27</v>
      </c>
      <c r="M6" s="271">
        <v>18.149999999999999</v>
      </c>
      <c r="N6" s="271">
        <v>18.7</v>
      </c>
      <c r="O6" s="271">
        <v>19.100000000000001</v>
      </c>
      <c r="P6" s="342">
        <v>18.399999999999999</v>
      </c>
      <c r="R6" s="341">
        <v>18.399999999999999</v>
      </c>
      <c r="S6" s="341">
        <v>18.920000000000002</v>
      </c>
      <c r="T6" s="341">
        <v>21.05</v>
      </c>
      <c r="U6" s="341">
        <v>18.8</v>
      </c>
      <c r="V6" s="341">
        <v>18.489999999999998</v>
      </c>
      <c r="W6" s="271">
        <v>17.62</v>
      </c>
      <c r="X6" s="271">
        <v>17.8</v>
      </c>
      <c r="Y6" s="271">
        <v>17.5</v>
      </c>
      <c r="Z6" s="341">
        <v>18.7</v>
      </c>
      <c r="AA6" s="343">
        <v>19.2</v>
      </c>
    </row>
    <row r="7" spans="1:27" s="335" customFormat="1" ht="27" customHeight="1">
      <c r="A7" s="337">
        <v>4</v>
      </c>
      <c r="B7" s="344" t="s">
        <v>192</v>
      </c>
      <c r="C7" s="338" t="s">
        <v>166</v>
      </c>
      <c r="D7" s="339" t="s">
        <v>193</v>
      </c>
      <c r="E7" s="339" t="s">
        <v>194</v>
      </c>
      <c r="F7" s="341">
        <v>30</v>
      </c>
      <c r="G7" s="341">
        <v>17.3</v>
      </c>
      <c r="H7" s="341">
        <v>22.4</v>
      </c>
      <c r="I7" s="341">
        <v>23.49</v>
      </c>
      <c r="J7" s="341">
        <v>23.65</v>
      </c>
      <c r="K7" s="341">
        <v>17.420000000000002</v>
      </c>
      <c r="L7" s="271">
        <v>18.850000000000001</v>
      </c>
      <c r="M7" s="271">
        <v>17.46</v>
      </c>
      <c r="N7" s="271">
        <v>19.260000000000002</v>
      </c>
      <c r="O7" s="271">
        <v>19.899999999999999</v>
      </c>
      <c r="P7" s="342">
        <v>21.8</v>
      </c>
      <c r="R7" s="341">
        <v>15.65</v>
      </c>
      <c r="S7" s="341">
        <v>19.68</v>
      </c>
      <c r="T7" s="341">
        <v>23.7</v>
      </c>
      <c r="U7" s="341">
        <v>12.5</v>
      </c>
      <c r="V7" s="341">
        <v>16.600000000000001</v>
      </c>
      <c r="W7" s="271">
        <v>13.16</v>
      </c>
      <c r="X7" s="271">
        <v>17.95</v>
      </c>
      <c r="Y7" s="271">
        <v>17.899999999999999</v>
      </c>
      <c r="Z7" s="341">
        <v>17.739999999999998</v>
      </c>
      <c r="AA7" s="343">
        <v>20.9</v>
      </c>
    </row>
    <row r="8" spans="1:27" s="335" customFormat="1" ht="27" customHeight="1">
      <c r="A8" s="337">
        <v>5</v>
      </c>
      <c r="B8" s="338" t="s">
        <v>37</v>
      </c>
      <c r="C8" s="338" t="s">
        <v>198</v>
      </c>
      <c r="D8" s="339" t="s">
        <v>199</v>
      </c>
      <c r="E8" s="339" t="s">
        <v>200</v>
      </c>
      <c r="F8" s="341">
        <v>36.5</v>
      </c>
      <c r="G8" s="341">
        <v>19.5</v>
      </c>
      <c r="H8" s="341">
        <v>32.450000000000003</v>
      </c>
      <c r="I8" s="341">
        <v>34.1</v>
      </c>
      <c r="J8" s="341">
        <v>34.42</v>
      </c>
      <c r="K8" s="341">
        <v>35.86</v>
      </c>
      <c r="L8" s="271">
        <v>26.65</v>
      </c>
      <c r="M8" s="271">
        <v>23.25</v>
      </c>
      <c r="N8" s="271">
        <v>23.86</v>
      </c>
      <c r="O8" s="271">
        <v>23.86</v>
      </c>
      <c r="P8" s="342">
        <v>25.4</v>
      </c>
      <c r="R8" s="341">
        <v>16.649999999999999</v>
      </c>
      <c r="S8" s="341">
        <v>31.72</v>
      </c>
      <c r="T8" s="341">
        <v>35.020000000000003</v>
      </c>
      <c r="U8" s="341">
        <v>36.26</v>
      </c>
      <c r="V8" s="341">
        <v>23.35</v>
      </c>
      <c r="W8" s="271">
        <v>22.5</v>
      </c>
      <c r="X8" s="271">
        <v>22.9</v>
      </c>
      <c r="Y8" s="271">
        <v>20.6</v>
      </c>
      <c r="Z8" s="341">
        <v>20.6</v>
      </c>
      <c r="AA8" s="343">
        <v>23.36</v>
      </c>
    </row>
    <row r="9" spans="1:27" s="335" customFormat="1" ht="27" customHeight="1">
      <c r="A9" s="337">
        <v>6</v>
      </c>
      <c r="B9" s="338" t="s">
        <v>38</v>
      </c>
      <c r="C9" s="338" t="s">
        <v>204</v>
      </c>
      <c r="D9" s="339" t="s">
        <v>205</v>
      </c>
      <c r="E9" s="339" t="s">
        <v>206</v>
      </c>
      <c r="F9" s="341">
        <v>37.5</v>
      </c>
      <c r="G9" s="341">
        <v>13.3</v>
      </c>
      <c r="H9" s="341">
        <v>11.45</v>
      </c>
      <c r="I9" s="341">
        <v>18.8</v>
      </c>
      <c r="J9" s="341">
        <v>21</v>
      </c>
      <c r="K9" s="341">
        <v>15.88</v>
      </c>
      <c r="L9" s="271">
        <v>17.100000000000001</v>
      </c>
      <c r="M9" s="271">
        <v>16.5</v>
      </c>
      <c r="N9" s="271">
        <v>18.8</v>
      </c>
      <c r="O9" s="271">
        <v>17.95</v>
      </c>
      <c r="P9" s="342">
        <v>18.8</v>
      </c>
      <c r="R9" s="341">
        <v>14.2</v>
      </c>
      <c r="S9" s="341">
        <v>5.04</v>
      </c>
      <c r="T9" s="341">
        <v>20.9</v>
      </c>
      <c r="U9" s="341">
        <v>13.28</v>
      </c>
      <c r="V9" s="341">
        <v>8.4</v>
      </c>
      <c r="W9" s="271">
        <v>9.85</v>
      </c>
      <c r="X9" s="271">
        <v>16.899999999999999</v>
      </c>
      <c r="Y9" s="271">
        <v>16.350000000000001</v>
      </c>
      <c r="Z9" s="341">
        <v>17.25</v>
      </c>
      <c r="AA9" s="343">
        <v>16.7</v>
      </c>
    </row>
    <row r="10" spans="1:27" s="335" customFormat="1" ht="27" customHeight="1">
      <c r="A10" s="337">
        <v>7</v>
      </c>
      <c r="B10" s="344" t="s">
        <v>322</v>
      </c>
      <c r="C10" s="344" t="s">
        <v>323</v>
      </c>
      <c r="D10" s="345">
        <v>26.48502457</v>
      </c>
      <c r="E10" s="345">
        <v>74.564540399999998</v>
      </c>
      <c r="F10" s="346">
        <v>32.4</v>
      </c>
      <c r="G10" s="346">
        <v>19.600000000000001</v>
      </c>
      <c r="H10" s="346">
        <v>29.5</v>
      </c>
      <c r="I10" s="346">
        <v>29.1</v>
      </c>
      <c r="J10" s="346">
        <v>29.46</v>
      </c>
      <c r="K10" s="346">
        <v>29.36</v>
      </c>
      <c r="L10" s="346">
        <v>29</v>
      </c>
      <c r="M10" s="346">
        <v>28.79</v>
      </c>
      <c r="N10" s="346">
        <v>29.36</v>
      </c>
      <c r="O10" s="346">
        <v>29.36</v>
      </c>
      <c r="P10" s="346">
        <v>28.8</v>
      </c>
      <c r="R10" s="346">
        <v>14.5</v>
      </c>
      <c r="S10" s="346">
        <v>24.12</v>
      </c>
      <c r="T10" s="346">
        <v>29.4</v>
      </c>
      <c r="U10" s="346">
        <v>29.51</v>
      </c>
      <c r="V10" s="346">
        <v>29.26</v>
      </c>
      <c r="W10" s="346">
        <v>28.75</v>
      </c>
      <c r="X10" s="346">
        <v>27.78</v>
      </c>
      <c r="Y10" s="346">
        <v>28.1</v>
      </c>
      <c r="Z10" s="346">
        <v>29.1</v>
      </c>
      <c r="AA10" s="346">
        <v>25.95</v>
      </c>
    </row>
    <row r="11" spans="1:27" s="335" customFormat="1" ht="27" customHeight="1">
      <c r="A11" s="337">
        <v>8</v>
      </c>
      <c r="B11" s="344" t="s">
        <v>341</v>
      </c>
      <c r="C11" s="344" t="s">
        <v>342</v>
      </c>
      <c r="D11" s="345">
        <v>26.594714849999999</v>
      </c>
      <c r="E11" s="345">
        <v>74.592615589999994</v>
      </c>
      <c r="F11" s="346">
        <v>35.5</v>
      </c>
      <c r="G11" s="346">
        <v>18.45</v>
      </c>
      <c r="H11" s="346">
        <v>31</v>
      </c>
      <c r="I11" s="346">
        <v>30.85</v>
      </c>
      <c r="J11" s="346">
        <v>31.5</v>
      </c>
      <c r="K11" s="346">
        <v>31.97</v>
      </c>
      <c r="L11" s="346">
        <v>32.369999999999997</v>
      </c>
      <c r="M11" s="346">
        <v>32.450000000000003</v>
      </c>
      <c r="N11" s="346">
        <v>32.799999999999997</v>
      </c>
      <c r="O11" s="346">
        <v>34.950000000000003</v>
      </c>
      <c r="P11" s="346">
        <v>34.1</v>
      </c>
      <c r="R11" s="346">
        <v>17.95</v>
      </c>
      <c r="S11" s="346">
        <v>28.47</v>
      </c>
      <c r="T11" s="346">
        <v>31.45</v>
      </c>
      <c r="U11" s="346">
        <v>30.14</v>
      </c>
      <c r="V11" s="346">
        <v>31.95</v>
      </c>
      <c r="W11" s="346">
        <v>31.35</v>
      </c>
      <c r="X11" s="346">
        <v>31.9</v>
      </c>
      <c r="Y11" s="346">
        <v>31.15</v>
      </c>
      <c r="Z11" s="346">
        <v>33.1</v>
      </c>
      <c r="AA11" s="346">
        <v>32.4</v>
      </c>
    </row>
    <row r="12" spans="1:27" s="335" customFormat="1" ht="27" customHeight="1">
      <c r="A12" s="346"/>
      <c r="B12" s="347" t="s">
        <v>585</v>
      </c>
      <c r="C12" s="348"/>
      <c r="D12" s="345"/>
      <c r="E12" s="345"/>
      <c r="F12" s="346"/>
      <c r="G12" s="349">
        <f t="shared" ref="G12:P12" si="0">AVERAGE(G4:G11)</f>
        <v>18.691249999999997</v>
      </c>
      <c r="H12" s="349">
        <f t="shared" si="0"/>
        <v>24.456250000000001</v>
      </c>
      <c r="I12" s="349">
        <f t="shared" si="0"/>
        <v>26.116250000000001</v>
      </c>
      <c r="J12" s="349">
        <f t="shared" si="0"/>
        <v>27.247499999999999</v>
      </c>
      <c r="K12" s="349">
        <f t="shared" si="0"/>
        <v>25.243750000000002</v>
      </c>
      <c r="L12" s="349">
        <f t="shared" si="0"/>
        <v>24.766249999999999</v>
      </c>
      <c r="M12" s="349">
        <f t="shared" si="0"/>
        <v>23.806249999999999</v>
      </c>
      <c r="N12" s="349">
        <f t="shared" si="0"/>
        <v>24.770000000000003</v>
      </c>
      <c r="O12" s="349">
        <f t="shared" si="0"/>
        <v>25.533749999999998</v>
      </c>
      <c r="P12" s="349">
        <f t="shared" si="0"/>
        <v>26.206250000000001</v>
      </c>
      <c r="R12" s="349">
        <f t="shared" ref="R12:AA12" si="1">AVERAGE(R4:R11)</f>
        <v>17.262499999999999</v>
      </c>
      <c r="S12" s="349">
        <f t="shared" si="1"/>
        <v>22.067499999999999</v>
      </c>
      <c r="T12" s="349">
        <f t="shared" si="1"/>
        <v>26.952500000000001</v>
      </c>
      <c r="U12" s="349">
        <f t="shared" si="1"/>
        <v>24.973749999999995</v>
      </c>
      <c r="V12" s="349">
        <f t="shared" si="1"/>
        <v>22.109999999999996</v>
      </c>
      <c r="W12" s="349">
        <f t="shared" si="1"/>
        <v>21.947499999999998</v>
      </c>
      <c r="X12" s="349">
        <f t="shared" si="1"/>
        <v>23.651250000000001</v>
      </c>
      <c r="Y12" s="349">
        <f t="shared" si="1"/>
        <v>23.118749999999999</v>
      </c>
      <c r="Z12" s="349">
        <f t="shared" si="1"/>
        <v>24.267499999999998</v>
      </c>
      <c r="AA12" s="349">
        <f t="shared" si="1"/>
        <v>24.713750000000001</v>
      </c>
    </row>
  </sheetData>
  <mergeCells count="6">
    <mergeCell ref="A2:A3"/>
    <mergeCell ref="B2:B3"/>
    <mergeCell ref="C2:C3"/>
    <mergeCell ref="D2:E2"/>
    <mergeCell ref="F2:F3"/>
    <mergeCell ref="A1:AA1"/>
  </mergeCells>
  <pageMargins left="0.75" right="0.25" top="0.75" bottom="0.5" header="0.511811023622047" footer="0.511811023622047"/>
  <pageSetup paperSize="9" scale="9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"/>
  <sheetViews>
    <sheetView view="pageBreakPreview" zoomScale="106" zoomScaleNormal="55" zoomScaleSheetLayoutView="106" workbookViewId="0">
      <pane ySplit="3" topLeftCell="A4" activePane="bottomLeft" state="frozen"/>
      <selection activeCell="BV11" sqref="BV11:BW11"/>
      <selection pane="bottomLeft" activeCell="BV11" sqref="BV11:BW11"/>
    </sheetView>
  </sheetViews>
  <sheetFormatPr defaultRowHeight="14.25"/>
  <cols>
    <col min="1" max="1" width="5.28515625" style="236" customWidth="1"/>
    <col min="2" max="2" width="15.28515625" style="237" customWidth="1"/>
    <col min="3" max="3" width="17.7109375" style="237" customWidth="1"/>
    <col min="4" max="4" width="10.85546875" style="238" customWidth="1"/>
    <col min="5" max="5" width="11.85546875" style="238" customWidth="1"/>
    <col min="6" max="6" width="8.85546875" style="236" customWidth="1"/>
    <col min="7" max="8" width="6.28515625" style="236" customWidth="1"/>
    <col min="9" max="9" width="9.7109375" style="236" customWidth="1"/>
    <col min="10" max="21" width="6.28515625" style="236" customWidth="1"/>
    <col min="22" max="22" width="9.140625" style="235" customWidth="1"/>
    <col min="23" max="23" width="16.42578125" style="235" customWidth="1"/>
    <col min="24" max="16384" width="9.140625" style="235"/>
  </cols>
  <sheetData>
    <row r="1" spans="1:26" s="234" customFormat="1" ht="15.75" thickBot="1">
      <c r="A1" s="471" t="s">
        <v>156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3"/>
    </row>
    <row r="2" spans="1:26" s="354" customFormat="1" ht="25.5" customHeight="1">
      <c r="A2" s="474" t="s">
        <v>157</v>
      </c>
      <c r="B2" s="469" t="s">
        <v>158</v>
      </c>
      <c r="C2" s="469" t="s">
        <v>159</v>
      </c>
      <c r="D2" s="469" t="str">
        <f>'[1]wl2006-2011'!F1:F2</f>
        <v>Longitude</v>
      </c>
      <c r="E2" s="469"/>
      <c r="F2" s="469" t="s">
        <v>160</v>
      </c>
      <c r="G2" s="468">
        <v>2012</v>
      </c>
      <c r="H2" s="468"/>
      <c r="I2" s="468"/>
      <c r="J2" s="468">
        <v>2013</v>
      </c>
      <c r="K2" s="468"/>
      <c r="L2" s="468"/>
      <c r="M2" s="468">
        <v>2014</v>
      </c>
      <c r="N2" s="468"/>
      <c r="O2" s="468"/>
      <c r="P2" s="468">
        <v>2015</v>
      </c>
      <c r="Q2" s="468"/>
      <c r="R2" s="468"/>
      <c r="S2" s="468">
        <v>2016</v>
      </c>
      <c r="T2" s="468"/>
      <c r="U2" s="468"/>
      <c r="V2" s="352">
        <v>2017</v>
      </c>
      <c r="W2" s="353" t="s">
        <v>603</v>
      </c>
    </row>
    <row r="3" spans="1:26" s="358" customFormat="1" ht="12.75" thickBot="1">
      <c r="A3" s="475"/>
      <c r="B3" s="470"/>
      <c r="C3" s="470"/>
      <c r="D3" s="355" t="s">
        <v>161</v>
      </c>
      <c r="E3" s="355" t="s">
        <v>162</v>
      </c>
      <c r="F3" s="470"/>
      <c r="G3" s="356" t="s">
        <v>163</v>
      </c>
      <c r="H3" s="356" t="s">
        <v>164</v>
      </c>
      <c r="I3" s="356" t="s">
        <v>165</v>
      </c>
      <c r="J3" s="356" t="s">
        <v>163</v>
      </c>
      <c r="K3" s="356" t="s">
        <v>164</v>
      </c>
      <c r="L3" s="356" t="s">
        <v>165</v>
      </c>
      <c r="M3" s="356" t="s">
        <v>163</v>
      </c>
      <c r="N3" s="356" t="s">
        <v>164</v>
      </c>
      <c r="O3" s="356" t="s">
        <v>165</v>
      </c>
      <c r="P3" s="356" t="s">
        <v>163</v>
      </c>
      <c r="Q3" s="356" t="s">
        <v>164</v>
      </c>
      <c r="R3" s="356" t="s">
        <v>165</v>
      </c>
      <c r="S3" s="356" t="s">
        <v>163</v>
      </c>
      <c r="T3" s="356" t="s">
        <v>164</v>
      </c>
      <c r="U3" s="356" t="s">
        <v>165</v>
      </c>
      <c r="V3" s="357" t="s">
        <v>602</v>
      </c>
      <c r="W3" s="356" t="s">
        <v>165</v>
      </c>
    </row>
    <row r="4" spans="1:26" s="251" customFormat="1" ht="11.25">
      <c r="A4" s="244">
        <v>1</v>
      </c>
      <c r="B4" s="245" t="s">
        <v>2</v>
      </c>
      <c r="C4" s="245" t="s">
        <v>166</v>
      </c>
      <c r="D4" s="240" t="s">
        <v>167</v>
      </c>
      <c r="E4" s="240" t="s">
        <v>168</v>
      </c>
      <c r="F4" s="240">
        <v>30.5</v>
      </c>
      <c r="G4" s="246">
        <v>25.7</v>
      </c>
      <c r="H4" s="246">
        <v>22.17</v>
      </c>
      <c r="I4" s="247">
        <f>G4-H4</f>
        <v>3.5299999999999976</v>
      </c>
      <c r="J4" s="246">
        <v>25.5</v>
      </c>
      <c r="K4" s="246">
        <v>25.3</v>
      </c>
      <c r="L4" s="247">
        <f t="shared" ref="L4:L12" si="0">J4-K4</f>
        <v>0.19999999999999929</v>
      </c>
      <c r="M4" s="246">
        <v>28</v>
      </c>
      <c r="N4" s="246">
        <v>26.9</v>
      </c>
      <c r="O4" s="247">
        <f t="shared" ref="O4:O12" si="1">M4-N4</f>
        <v>1.1000000000000014</v>
      </c>
      <c r="P4" s="246">
        <v>28.5</v>
      </c>
      <c r="Q4" s="240">
        <v>27.9</v>
      </c>
      <c r="R4" s="247">
        <f t="shared" ref="R4:R12" si="2">P4-Q4</f>
        <v>0.60000000000000142</v>
      </c>
      <c r="S4" s="248">
        <v>29.75</v>
      </c>
      <c r="T4" s="249">
        <v>28.9</v>
      </c>
      <c r="U4" s="247">
        <f>S4-T4</f>
        <v>0.85000000000000142</v>
      </c>
      <c r="V4" s="250"/>
      <c r="Y4" s="251">
        <v>3.15</v>
      </c>
      <c r="Z4" s="268">
        <f>T4+Y4</f>
        <v>32.049999999999997</v>
      </c>
    </row>
    <row r="5" spans="1:26" s="251" customFormat="1" ht="11.25">
      <c r="A5" s="252">
        <v>2</v>
      </c>
      <c r="B5" s="253" t="s">
        <v>3</v>
      </c>
      <c r="C5" s="253" t="s">
        <v>169</v>
      </c>
      <c r="D5" s="241" t="s">
        <v>170</v>
      </c>
      <c r="E5" s="241" t="s">
        <v>171</v>
      </c>
      <c r="F5" s="254">
        <v>23</v>
      </c>
      <c r="G5" s="255">
        <v>12.95</v>
      </c>
      <c r="H5" s="256">
        <v>8.4</v>
      </c>
      <c r="I5" s="257">
        <f>G5-H5</f>
        <v>4.5499999999999989</v>
      </c>
      <c r="J5" s="258">
        <v>16.95</v>
      </c>
      <c r="K5" s="258">
        <v>17.13</v>
      </c>
      <c r="L5" s="257">
        <f t="shared" si="0"/>
        <v>-0.17999999999999972</v>
      </c>
      <c r="M5" s="258">
        <v>17.25</v>
      </c>
      <c r="N5" s="258">
        <v>16.25</v>
      </c>
      <c r="O5" s="257">
        <f t="shared" si="1"/>
        <v>1</v>
      </c>
      <c r="P5" s="258">
        <v>19.02</v>
      </c>
      <c r="Q5" s="241">
        <v>18.05</v>
      </c>
      <c r="R5" s="257">
        <f t="shared" si="2"/>
        <v>0.96999999999999886</v>
      </c>
      <c r="S5" s="259">
        <v>19.100000000000001</v>
      </c>
      <c r="T5" s="260">
        <v>17.100000000000001</v>
      </c>
      <c r="U5" s="257">
        <f>S5-T5</f>
        <v>2</v>
      </c>
      <c r="V5" s="261">
        <v>20.100000000000001</v>
      </c>
      <c r="W5" s="267">
        <f>V5-T5</f>
        <v>3</v>
      </c>
    </row>
    <row r="6" spans="1:26" s="251" customFormat="1" ht="22.5">
      <c r="A6" s="252">
        <v>3</v>
      </c>
      <c r="B6" s="253" t="s">
        <v>4</v>
      </c>
      <c r="C6" s="253" t="s">
        <v>172</v>
      </c>
      <c r="D6" s="241" t="s">
        <v>173</v>
      </c>
      <c r="E6" s="241" t="s">
        <v>174</v>
      </c>
      <c r="F6" s="241">
        <v>35</v>
      </c>
      <c r="G6" s="255">
        <v>30.3</v>
      </c>
      <c r="H6" s="256">
        <v>23.48</v>
      </c>
      <c r="I6" s="257">
        <v>1.95</v>
      </c>
      <c r="J6" s="258">
        <v>30.3</v>
      </c>
      <c r="K6" s="258">
        <v>29.34</v>
      </c>
      <c r="L6" s="257">
        <f t="shared" si="0"/>
        <v>0.96000000000000085</v>
      </c>
      <c r="M6" s="258">
        <v>31.47</v>
      </c>
      <c r="N6" s="258">
        <v>29.95</v>
      </c>
      <c r="O6" s="257">
        <f t="shared" si="1"/>
        <v>1.5199999999999996</v>
      </c>
      <c r="P6" s="258">
        <v>32.01</v>
      </c>
      <c r="Q6" s="241">
        <v>30.15</v>
      </c>
      <c r="R6" s="257">
        <f t="shared" si="2"/>
        <v>1.8599999999999994</v>
      </c>
      <c r="S6" s="259" t="s">
        <v>95</v>
      </c>
      <c r="T6" s="262" t="s">
        <v>175</v>
      </c>
      <c r="U6" s="257"/>
      <c r="V6" s="261"/>
    </row>
    <row r="7" spans="1:26" s="251" customFormat="1" ht="11.25">
      <c r="A7" s="252">
        <v>4</v>
      </c>
      <c r="B7" s="253" t="s">
        <v>12</v>
      </c>
      <c r="C7" s="253" t="s">
        <v>166</v>
      </c>
      <c r="D7" s="241" t="s">
        <v>176</v>
      </c>
      <c r="E7" s="241" t="s">
        <v>177</v>
      </c>
      <c r="F7" s="241">
        <v>30</v>
      </c>
      <c r="G7" s="255">
        <v>27.8</v>
      </c>
      <c r="H7" s="256">
        <v>27.45</v>
      </c>
      <c r="I7" s="257">
        <f t="shared" ref="I7:I12" si="3">G7-H7</f>
        <v>0.35000000000000142</v>
      </c>
      <c r="J7" s="258">
        <v>27.8</v>
      </c>
      <c r="K7" s="258">
        <v>27.5</v>
      </c>
      <c r="L7" s="257">
        <f t="shared" si="0"/>
        <v>0.30000000000000071</v>
      </c>
      <c r="M7" s="258">
        <v>29.13</v>
      </c>
      <c r="N7" s="258">
        <v>27.5</v>
      </c>
      <c r="O7" s="257">
        <f t="shared" si="1"/>
        <v>1.629999999999999</v>
      </c>
      <c r="P7" s="258">
        <v>31.75</v>
      </c>
      <c r="Q7" s="241">
        <v>32.15</v>
      </c>
      <c r="R7" s="257">
        <f t="shared" si="2"/>
        <v>-0.39999999999999858</v>
      </c>
      <c r="S7" s="259" t="s">
        <v>95</v>
      </c>
      <c r="T7" s="263" t="s">
        <v>175</v>
      </c>
      <c r="U7" s="257"/>
      <c r="V7" s="261"/>
    </row>
    <row r="8" spans="1:26" s="251" customFormat="1" ht="11.25">
      <c r="A8" s="252">
        <v>5</v>
      </c>
      <c r="B8" s="253" t="s">
        <v>21</v>
      </c>
      <c r="C8" s="253" t="s">
        <v>166</v>
      </c>
      <c r="D8" s="241" t="s">
        <v>178</v>
      </c>
      <c r="E8" s="241" t="s">
        <v>179</v>
      </c>
      <c r="F8" s="241">
        <v>80</v>
      </c>
      <c r="G8" s="255">
        <v>39.26</v>
      </c>
      <c r="H8" s="256">
        <v>31.48</v>
      </c>
      <c r="I8" s="257">
        <f t="shared" si="3"/>
        <v>7.7799999999999976</v>
      </c>
      <c r="J8" s="258">
        <v>36.9</v>
      </c>
      <c r="K8" s="258">
        <v>36.85</v>
      </c>
      <c r="L8" s="257">
        <f t="shared" si="0"/>
        <v>4.9999999999997158E-2</v>
      </c>
      <c r="M8" s="258">
        <v>38.130000000000003</v>
      </c>
      <c r="N8" s="258">
        <v>37.1</v>
      </c>
      <c r="O8" s="257">
        <f t="shared" si="1"/>
        <v>1.0300000000000011</v>
      </c>
      <c r="P8" s="258">
        <v>40.130000000000003</v>
      </c>
      <c r="Q8" s="241">
        <v>39.6</v>
      </c>
      <c r="R8" s="257">
        <f t="shared" si="2"/>
        <v>0.53000000000000114</v>
      </c>
      <c r="S8" s="259">
        <v>43.25</v>
      </c>
      <c r="T8" s="260">
        <v>42.1</v>
      </c>
      <c r="U8" s="257">
        <f>S8-T8</f>
        <v>1.1499999999999986</v>
      </c>
      <c r="V8" s="261">
        <v>44.1</v>
      </c>
      <c r="W8" s="267">
        <f>V8-T8</f>
        <v>2</v>
      </c>
    </row>
    <row r="9" spans="1:26" s="251" customFormat="1" ht="11.25">
      <c r="A9" s="252">
        <v>6</v>
      </c>
      <c r="B9" s="253" t="s">
        <v>180</v>
      </c>
      <c r="C9" s="253" t="s">
        <v>166</v>
      </c>
      <c r="D9" s="241" t="s">
        <v>181</v>
      </c>
      <c r="E9" s="241" t="s">
        <v>182</v>
      </c>
      <c r="F9" s="241">
        <v>21.3</v>
      </c>
      <c r="G9" s="258">
        <v>29</v>
      </c>
      <c r="H9" s="258">
        <v>28.75</v>
      </c>
      <c r="I9" s="257">
        <f t="shared" si="3"/>
        <v>0.25</v>
      </c>
      <c r="J9" s="258">
        <v>28.79</v>
      </c>
      <c r="K9" s="258">
        <v>28.78</v>
      </c>
      <c r="L9" s="257">
        <f t="shared" si="0"/>
        <v>9.9999999999980105E-3</v>
      </c>
      <c r="M9" s="258">
        <v>29.36</v>
      </c>
      <c r="N9" s="258">
        <v>28.1</v>
      </c>
      <c r="O9" s="257">
        <f t="shared" si="1"/>
        <v>1.259999999999998</v>
      </c>
      <c r="P9" s="258">
        <v>30.36</v>
      </c>
      <c r="Q9" s="241">
        <v>28.9</v>
      </c>
      <c r="R9" s="257">
        <f t="shared" si="2"/>
        <v>1.4600000000000009</v>
      </c>
      <c r="S9" s="259">
        <v>29.2</v>
      </c>
      <c r="T9" s="260">
        <v>29.1</v>
      </c>
      <c r="U9" s="257">
        <f>S9-T9</f>
        <v>9.9999999999997868E-2</v>
      </c>
      <c r="V9" s="261"/>
    </row>
    <row r="10" spans="1:26" s="251" customFormat="1" ht="22.5">
      <c r="A10" s="252">
        <v>7</v>
      </c>
      <c r="B10" s="253" t="s">
        <v>18</v>
      </c>
      <c r="C10" s="253" t="s">
        <v>183</v>
      </c>
      <c r="D10" s="241" t="s">
        <v>184</v>
      </c>
      <c r="E10" s="241" t="s">
        <v>185</v>
      </c>
      <c r="F10" s="241">
        <v>33.5</v>
      </c>
      <c r="G10" s="258">
        <v>32.450000000000003</v>
      </c>
      <c r="H10" s="258">
        <v>31.1</v>
      </c>
      <c r="I10" s="257">
        <f t="shared" si="3"/>
        <v>1.3500000000000014</v>
      </c>
      <c r="J10" s="258">
        <v>29.75</v>
      </c>
      <c r="K10" s="258">
        <v>29.7</v>
      </c>
      <c r="L10" s="257">
        <f t="shared" si="0"/>
        <v>5.0000000000000711E-2</v>
      </c>
      <c r="M10" s="258">
        <v>31.7</v>
      </c>
      <c r="N10" s="258">
        <v>29.35</v>
      </c>
      <c r="O10" s="257">
        <f t="shared" si="1"/>
        <v>2.3499999999999979</v>
      </c>
      <c r="P10" s="258">
        <v>32.700000000000003</v>
      </c>
      <c r="Q10" s="241">
        <v>29.35</v>
      </c>
      <c r="R10" s="257">
        <f t="shared" si="2"/>
        <v>3.3500000000000014</v>
      </c>
      <c r="S10" s="259">
        <v>33.6</v>
      </c>
      <c r="T10" s="260">
        <v>32.9</v>
      </c>
      <c r="U10" s="257">
        <f>S10-T10</f>
        <v>0.70000000000000284</v>
      </c>
      <c r="V10" s="257">
        <v>33.53</v>
      </c>
      <c r="W10" s="267">
        <f>V10-T10</f>
        <v>0.63000000000000256</v>
      </c>
    </row>
    <row r="11" spans="1:26" s="251" customFormat="1" ht="22.5">
      <c r="A11" s="252">
        <v>8</v>
      </c>
      <c r="B11" s="253" t="s">
        <v>13</v>
      </c>
      <c r="C11" s="253" t="s">
        <v>186</v>
      </c>
      <c r="D11" s="241" t="s">
        <v>187</v>
      </c>
      <c r="E11" s="241" t="s">
        <v>188</v>
      </c>
      <c r="F11" s="241">
        <v>26.15</v>
      </c>
      <c r="G11" s="258">
        <v>18.149999999999999</v>
      </c>
      <c r="H11" s="258">
        <v>17.62</v>
      </c>
      <c r="I11" s="257">
        <f t="shared" si="3"/>
        <v>0.52999999999999758</v>
      </c>
      <c r="J11" s="258">
        <v>18.149999999999999</v>
      </c>
      <c r="K11" s="258">
        <v>17.8</v>
      </c>
      <c r="L11" s="257">
        <f t="shared" si="0"/>
        <v>0.34999999999999787</v>
      </c>
      <c r="M11" s="258">
        <v>18.7</v>
      </c>
      <c r="N11" s="258">
        <v>17.5</v>
      </c>
      <c r="O11" s="257">
        <f t="shared" si="1"/>
        <v>1.1999999999999993</v>
      </c>
      <c r="P11" s="258">
        <v>19.100000000000001</v>
      </c>
      <c r="Q11" s="241">
        <v>18.7</v>
      </c>
      <c r="R11" s="257">
        <f t="shared" si="2"/>
        <v>0.40000000000000213</v>
      </c>
      <c r="S11" s="259">
        <v>18.399999999999999</v>
      </c>
      <c r="T11" s="260">
        <v>19.2</v>
      </c>
      <c r="U11" s="257">
        <f>S11-T11</f>
        <v>-0.80000000000000071</v>
      </c>
      <c r="V11" s="261">
        <v>19.5</v>
      </c>
      <c r="W11" s="267">
        <f>V11-T11</f>
        <v>0.30000000000000071</v>
      </c>
    </row>
    <row r="12" spans="1:26" s="251" customFormat="1" ht="11.25">
      <c r="A12" s="252">
        <v>9</v>
      </c>
      <c r="B12" s="253" t="s">
        <v>26</v>
      </c>
      <c r="C12" s="253" t="s">
        <v>189</v>
      </c>
      <c r="D12" s="241" t="s">
        <v>190</v>
      </c>
      <c r="E12" s="241" t="s">
        <v>191</v>
      </c>
      <c r="F12" s="241">
        <v>21</v>
      </c>
      <c r="G12" s="255">
        <v>7.02</v>
      </c>
      <c r="H12" s="256">
        <v>6.82</v>
      </c>
      <c r="I12" s="257">
        <f t="shared" si="3"/>
        <v>0.19999999999999929</v>
      </c>
      <c r="J12" s="258">
        <v>11.25</v>
      </c>
      <c r="K12" s="258">
        <v>11.4</v>
      </c>
      <c r="L12" s="257">
        <f t="shared" si="0"/>
        <v>-0.15000000000000036</v>
      </c>
      <c r="M12" s="258">
        <v>12.1</v>
      </c>
      <c r="N12" s="258">
        <v>10.7</v>
      </c>
      <c r="O12" s="257">
        <f t="shared" si="1"/>
        <v>1.4000000000000004</v>
      </c>
      <c r="P12" s="258">
        <v>13.25</v>
      </c>
      <c r="Q12" s="241">
        <v>12.7</v>
      </c>
      <c r="R12" s="257">
        <f t="shared" si="2"/>
        <v>0.55000000000000071</v>
      </c>
      <c r="S12" s="259">
        <v>17.899999999999999</v>
      </c>
      <c r="T12" s="260">
        <v>17.649999999999999</v>
      </c>
      <c r="U12" s="257">
        <f>S12-T12</f>
        <v>0.25</v>
      </c>
      <c r="V12" s="261"/>
    </row>
    <row r="13" spans="1:26" s="251" customFormat="1" ht="11.25">
      <c r="A13" s="252">
        <v>10</v>
      </c>
      <c r="B13" s="264" t="s">
        <v>192</v>
      </c>
      <c r="C13" s="253" t="s">
        <v>166</v>
      </c>
      <c r="D13" s="241" t="s">
        <v>193</v>
      </c>
      <c r="E13" s="241" t="s">
        <v>194</v>
      </c>
      <c r="F13" s="241">
        <v>30</v>
      </c>
      <c r="G13" s="255">
        <v>20.46</v>
      </c>
      <c r="H13" s="256">
        <v>17.18</v>
      </c>
      <c r="I13" s="257">
        <f>G13-H13</f>
        <v>3.2800000000000011</v>
      </c>
      <c r="J13" s="258">
        <v>17.46</v>
      </c>
      <c r="K13" s="258">
        <v>17.95</v>
      </c>
      <c r="L13" s="257">
        <f>J13-K13</f>
        <v>-0.48999999999999844</v>
      </c>
      <c r="M13" s="258">
        <v>19.260000000000002</v>
      </c>
      <c r="N13" s="258">
        <v>17.899999999999999</v>
      </c>
      <c r="O13" s="257">
        <f>M13-N13</f>
        <v>1.360000000000003</v>
      </c>
      <c r="P13" s="258">
        <v>19.899999999999999</v>
      </c>
      <c r="Q13" s="241">
        <v>17.739999999999998</v>
      </c>
      <c r="R13" s="257">
        <f t="shared" ref="R13:R36" si="4">P13-Q13</f>
        <v>2.16</v>
      </c>
      <c r="S13" s="259">
        <v>21.8</v>
      </c>
      <c r="T13" s="260">
        <v>20.9</v>
      </c>
      <c r="U13" s="257">
        <f t="shared" ref="U13:U44" si="5">S13-T13</f>
        <v>0.90000000000000213</v>
      </c>
      <c r="V13" s="261">
        <v>23.2</v>
      </c>
      <c r="W13" s="267">
        <f>V13-T13</f>
        <v>2.3000000000000007</v>
      </c>
    </row>
    <row r="14" spans="1:26" s="251" customFormat="1" ht="11.25">
      <c r="A14" s="252">
        <v>11</v>
      </c>
      <c r="B14" s="264" t="s">
        <v>192</v>
      </c>
      <c r="C14" s="253" t="s">
        <v>195</v>
      </c>
      <c r="D14" s="241" t="s">
        <v>196</v>
      </c>
      <c r="E14" s="241" t="s">
        <v>197</v>
      </c>
      <c r="F14" s="241">
        <v>25</v>
      </c>
      <c r="G14" s="258">
        <v>13.15</v>
      </c>
      <c r="H14" s="258">
        <v>7.78</v>
      </c>
      <c r="I14" s="257">
        <f>G14-H14</f>
        <v>5.37</v>
      </c>
      <c r="J14" s="258">
        <v>15.15</v>
      </c>
      <c r="K14" s="258">
        <v>15.88</v>
      </c>
      <c r="L14" s="257">
        <f>J14-K14</f>
        <v>-0.73000000000000043</v>
      </c>
      <c r="M14" s="258">
        <v>18.600000000000001</v>
      </c>
      <c r="N14" s="258">
        <v>17.600000000000001</v>
      </c>
      <c r="O14" s="257">
        <f>M14-N14</f>
        <v>1</v>
      </c>
      <c r="P14" s="258">
        <v>18.600000000000001</v>
      </c>
      <c r="Q14" s="241">
        <v>20.100000000000001</v>
      </c>
      <c r="R14" s="257">
        <f t="shared" si="4"/>
        <v>-1.5</v>
      </c>
      <c r="S14" s="259">
        <v>23.1</v>
      </c>
      <c r="T14" s="260">
        <v>24.14</v>
      </c>
      <c r="U14" s="257">
        <f t="shared" si="5"/>
        <v>-1.0399999999999991</v>
      </c>
      <c r="V14" s="261">
        <v>25.4</v>
      </c>
      <c r="W14" s="267">
        <f>V14-T14</f>
        <v>1.259999999999998</v>
      </c>
    </row>
    <row r="15" spans="1:26" s="251" customFormat="1" ht="22.5">
      <c r="A15" s="252">
        <v>12</v>
      </c>
      <c r="B15" s="253" t="s">
        <v>37</v>
      </c>
      <c r="C15" s="253" t="s">
        <v>198</v>
      </c>
      <c r="D15" s="241" t="s">
        <v>199</v>
      </c>
      <c r="E15" s="241" t="s">
        <v>200</v>
      </c>
      <c r="F15" s="241">
        <v>36.5</v>
      </c>
      <c r="G15" s="258">
        <v>26.65</v>
      </c>
      <c r="H15" s="258">
        <v>22.5</v>
      </c>
      <c r="I15" s="257">
        <f>G15-H15</f>
        <v>4.1499999999999986</v>
      </c>
      <c r="J15" s="258">
        <v>23.25</v>
      </c>
      <c r="K15" s="258">
        <v>22.9</v>
      </c>
      <c r="L15" s="257">
        <f>J15-K15</f>
        <v>0.35000000000000142</v>
      </c>
      <c r="M15" s="258">
        <v>23.86</v>
      </c>
      <c r="N15" s="258">
        <v>20.6</v>
      </c>
      <c r="O15" s="257">
        <f>M15-N15</f>
        <v>3.259999999999998</v>
      </c>
      <c r="P15" s="258">
        <v>23.86</v>
      </c>
      <c r="Q15" s="241">
        <v>20.6</v>
      </c>
      <c r="R15" s="257">
        <f t="shared" si="4"/>
        <v>3.259999999999998</v>
      </c>
      <c r="S15" s="259">
        <v>25.4</v>
      </c>
      <c r="T15" s="260">
        <v>23.36</v>
      </c>
      <c r="U15" s="257">
        <f t="shared" si="5"/>
        <v>2.0399999999999991</v>
      </c>
      <c r="V15" s="261"/>
    </row>
    <row r="16" spans="1:26" s="251" customFormat="1" ht="11.25">
      <c r="A16" s="252">
        <v>13</v>
      </c>
      <c r="B16" s="253" t="s">
        <v>17</v>
      </c>
      <c r="C16" s="253" t="s">
        <v>201</v>
      </c>
      <c r="D16" s="241" t="s">
        <v>202</v>
      </c>
      <c r="E16" s="241" t="s">
        <v>203</v>
      </c>
      <c r="F16" s="241">
        <v>27</v>
      </c>
      <c r="G16" s="258">
        <v>5.25</v>
      </c>
      <c r="H16" s="258">
        <v>4.47</v>
      </c>
      <c r="I16" s="257">
        <v>0.78000000000000025</v>
      </c>
      <c r="J16" s="258">
        <v>15.25</v>
      </c>
      <c r="K16" s="258">
        <v>15.2</v>
      </c>
      <c r="L16" s="257">
        <f>J16-K16</f>
        <v>5.0000000000000711E-2</v>
      </c>
      <c r="M16" s="258">
        <v>17.899999999999999</v>
      </c>
      <c r="N16" s="258">
        <v>17.100000000000001</v>
      </c>
      <c r="O16" s="257">
        <f>M16-N16</f>
        <v>0.79999999999999716</v>
      </c>
      <c r="P16" s="258">
        <v>15.9</v>
      </c>
      <c r="Q16" s="241">
        <v>12.3</v>
      </c>
      <c r="R16" s="257">
        <f t="shared" si="4"/>
        <v>3.5999999999999996</v>
      </c>
      <c r="S16" s="259">
        <v>13</v>
      </c>
      <c r="T16" s="260">
        <v>12.7</v>
      </c>
      <c r="U16" s="257">
        <f t="shared" si="5"/>
        <v>0.30000000000000071</v>
      </c>
      <c r="V16" s="261"/>
    </row>
    <row r="17" spans="1:23" s="251" customFormat="1" ht="11.25">
      <c r="A17" s="252">
        <v>14</v>
      </c>
      <c r="B17" s="253" t="s">
        <v>38</v>
      </c>
      <c r="C17" s="253" t="s">
        <v>204</v>
      </c>
      <c r="D17" s="241" t="s">
        <v>205</v>
      </c>
      <c r="E17" s="241" t="s">
        <v>206</v>
      </c>
      <c r="F17" s="241">
        <v>37.5</v>
      </c>
      <c r="G17" s="258">
        <v>10.5</v>
      </c>
      <c r="H17" s="258">
        <v>10.4</v>
      </c>
      <c r="I17" s="257">
        <f>G17-H17</f>
        <v>9.9999999999999645E-2</v>
      </c>
      <c r="J17" s="258">
        <v>16.5</v>
      </c>
      <c r="K17" s="258">
        <v>16.899999999999999</v>
      </c>
      <c r="L17" s="257">
        <f>J17-K17</f>
        <v>-0.39999999999999858</v>
      </c>
      <c r="M17" s="258">
        <v>18.8</v>
      </c>
      <c r="N17" s="258">
        <v>16.350000000000001</v>
      </c>
      <c r="O17" s="257">
        <f>M17-N17</f>
        <v>2.4499999999999993</v>
      </c>
      <c r="P17" s="258">
        <v>17.95</v>
      </c>
      <c r="Q17" s="241">
        <v>17.25</v>
      </c>
      <c r="R17" s="257">
        <f t="shared" si="4"/>
        <v>0.69999999999999929</v>
      </c>
      <c r="S17" s="259">
        <v>18.8</v>
      </c>
      <c r="T17" s="260">
        <v>16.7</v>
      </c>
      <c r="U17" s="257">
        <f t="shared" si="5"/>
        <v>2.1000000000000014</v>
      </c>
      <c r="V17" s="257">
        <v>18.55</v>
      </c>
      <c r="W17" s="267">
        <f t="shared" ref="W17:W22" si="6">V17-T17</f>
        <v>1.8500000000000014</v>
      </c>
    </row>
    <row r="18" spans="1:23" s="251" customFormat="1" ht="22.5">
      <c r="A18" s="252">
        <v>15</v>
      </c>
      <c r="B18" s="264" t="s">
        <v>207</v>
      </c>
      <c r="C18" s="264" t="s">
        <v>208</v>
      </c>
      <c r="D18" s="242" t="s">
        <v>209</v>
      </c>
      <c r="E18" s="242" t="s">
        <v>210</v>
      </c>
      <c r="F18" s="241">
        <v>30</v>
      </c>
      <c r="G18" s="258"/>
      <c r="H18" s="258"/>
      <c r="I18" s="257"/>
      <c r="J18" s="258"/>
      <c r="K18" s="258"/>
      <c r="L18" s="257"/>
      <c r="M18" s="258"/>
      <c r="N18" s="258"/>
      <c r="O18" s="257"/>
      <c r="P18" s="258">
        <v>3.95</v>
      </c>
      <c r="Q18" s="241">
        <v>4.3</v>
      </c>
      <c r="R18" s="257">
        <f t="shared" si="4"/>
        <v>-0.34999999999999964</v>
      </c>
      <c r="S18" s="243">
        <v>6.3</v>
      </c>
      <c r="T18" s="243">
        <v>3.55</v>
      </c>
      <c r="U18" s="257">
        <f t="shared" si="5"/>
        <v>2.75</v>
      </c>
      <c r="V18" s="257">
        <v>4.7</v>
      </c>
      <c r="W18" s="267">
        <f t="shared" si="6"/>
        <v>1.1500000000000004</v>
      </c>
    </row>
    <row r="19" spans="1:23" s="251" customFormat="1" ht="22.5">
      <c r="A19" s="252">
        <v>17</v>
      </c>
      <c r="B19" s="265" t="s">
        <v>4</v>
      </c>
      <c r="C19" s="264" t="s">
        <v>211</v>
      </c>
      <c r="D19" s="242" t="s">
        <v>212</v>
      </c>
      <c r="E19" s="242" t="s">
        <v>213</v>
      </c>
      <c r="F19" s="266">
        <v>40</v>
      </c>
      <c r="G19" s="258"/>
      <c r="H19" s="258"/>
      <c r="I19" s="257"/>
      <c r="J19" s="258"/>
      <c r="K19" s="258"/>
      <c r="L19" s="257"/>
      <c r="M19" s="258"/>
      <c r="N19" s="258"/>
      <c r="O19" s="257"/>
      <c r="P19" s="257">
        <v>14.84</v>
      </c>
      <c r="Q19" s="266">
        <v>16</v>
      </c>
      <c r="R19" s="257">
        <f t="shared" si="4"/>
        <v>-1.1600000000000001</v>
      </c>
      <c r="S19" s="243">
        <v>30.6</v>
      </c>
      <c r="T19" s="243">
        <v>28.25</v>
      </c>
      <c r="U19" s="257">
        <f t="shared" si="5"/>
        <v>2.3500000000000014</v>
      </c>
      <c r="V19" s="243">
        <v>30.21</v>
      </c>
      <c r="W19" s="267">
        <f t="shared" si="6"/>
        <v>1.9600000000000009</v>
      </c>
    </row>
    <row r="20" spans="1:23" s="251" customFormat="1" ht="22.5">
      <c r="A20" s="252">
        <v>18</v>
      </c>
      <c r="B20" s="265" t="s">
        <v>8</v>
      </c>
      <c r="C20" s="264" t="s">
        <v>214</v>
      </c>
      <c r="D20" s="242" t="s">
        <v>215</v>
      </c>
      <c r="E20" s="242" t="s">
        <v>216</v>
      </c>
      <c r="F20" s="241">
        <v>30</v>
      </c>
      <c r="G20" s="258"/>
      <c r="H20" s="258"/>
      <c r="I20" s="257"/>
      <c r="J20" s="258"/>
      <c r="K20" s="258"/>
      <c r="L20" s="257"/>
      <c r="M20" s="258"/>
      <c r="N20" s="258"/>
      <c r="O20" s="257"/>
      <c r="P20" s="258">
        <v>26.85</v>
      </c>
      <c r="Q20" s="241">
        <v>27.7</v>
      </c>
      <c r="R20" s="257">
        <f t="shared" si="4"/>
        <v>-0.84999999999999787</v>
      </c>
      <c r="S20" s="258">
        <v>28.1</v>
      </c>
      <c r="T20" s="258">
        <v>26.7</v>
      </c>
      <c r="U20" s="257">
        <f t="shared" si="5"/>
        <v>1.4000000000000021</v>
      </c>
      <c r="V20" s="257">
        <v>28.5</v>
      </c>
      <c r="W20" s="267">
        <f t="shared" si="6"/>
        <v>1.8000000000000007</v>
      </c>
    </row>
    <row r="21" spans="1:23" s="251" customFormat="1" ht="11.25">
      <c r="A21" s="252">
        <v>19</v>
      </c>
      <c r="B21" s="265" t="s">
        <v>9</v>
      </c>
      <c r="C21" s="264" t="s">
        <v>217</v>
      </c>
      <c r="D21" s="242" t="s">
        <v>218</v>
      </c>
      <c r="E21" s="242" t="s">
        <v>219</v>
      </c>
      <c r="F21" s="241">
        <v>30</v>
      </c>
      <c r="G21" s="258"/>
      <c r="H21" s="258"/>
      <c r="I21" s="257"/>
      <c r="J21" s="258"/>
      <c r="K21" s="258"/>
      <c r="L21" s="257"/>
      <c r="M21" s="258"/>
      <c r="N21" s="258"/>
      <c r="O21" s="257"/>
      <c r="P21" s="258">
        <v>4.8499999999999996</v>
      </c>
      <c r="Q21" s="241">
        <v>5.9</v>
      </c>
      <c r="R21" s="257">
        <f t="shared" si="4"/>
        <v>-1.0500000000000007</v>
      </c>
      <c r="S21" s="243">
        <v>7.6</v>
      </c>
      <c r="T21" s="243">
        <v>4.3499999999999996</v>
      </c>
      <c r="U21" s="257">
        <f t="shared" si="5"/>
        <v>3.25</v>
      </c>
      <c r="V21" s="257">
        <v>6.8</v>
      </c>
      <c r="W21" s="267">
        <f t="shared" si="6"/>
        <v>2.4500000000000002</v>
      </c>
    </row>
    <row r="22" spans="1:23" s="251" customFormat="1" ht="33.75">
      <c r="A22" s="252">
        <v>20</v>
      </c>
      <c r="B22" s="265" t="s">
        <v>220</v>
      </c>
      <c r="C22" s="264" t="s">
        <v>221</v>
      </c>
      <c r="D22" s="242" t="s">
        <v>222</v>
      </c>
      <c r="E22" s="242" t="s">
        <v>223</v>
      </c>
      <c r="F22" s="241">
        <v>30</v>
      </c>
      <c r="G22" s="258"/>
      <c r="H22" s="258"/>
      <c r="I22" s="257"/>
      <c r="J22" s="258"/>
      <c r="K22" s="258"/>
      <c r="L22" s="257"/>
      <c r="M22" s="258"/>
      <c r="N22" s="258"/>
      <c r="O22" s="257"/>
      <c r="P22" s="258">
        <v>22.9</v>
      </c>
      <c r="Q22" s="241">
        <v>20.100000000000001</v>
      </c>
      <c r="R22" s="257">
        <f t="shared" si="4"/>
        <v>2.7999999999999972</v>
      </c>
      <c r="S22" s="243">
        <v>20.100000000000001</v>
      </c>
      <c r="T22" s="243">
        <v>19.600000000000001</v>
      </c>
      <c r="U22" s="257">
        <f t="shared" si="5"/>
        <v>0.5</v>
      </c>
      <c r="V22" s="257">
        <v>21.1</v>
      </c>
      <c r="W22" s="267">
        <f t="shared" si="6"/>
        <v>1.5</v>
      </c>
    </row>
    <row r="23" spans="1:23" s="251" customFormat="1" ht="22.5">
      <c r="A23" s="252">
        <v>21</v>
      </c>
      <c r="B23" s="265" t="s">
        <v>16</v>
      </c>
      <c r="C23" s="264" t="s">
        <v>224</v>
      </c>
      <c r="D23" s="242" t="s">
        <v>225</v>
      </c>
      <c r="E23" s="242" t="s">
        <v>226</v>
      </c>
      <c r="F23" s="241">
        <v>31.5</v>
      </c>
      <c r="G23" s="258"/>
      <c r="H23" s="258"/>
      <c r="I23" s="257"/>
      <c r="J23" s="258"/>
      <c r="K23" s="258"/>
      <c r="L23" s="257"/>
      <c r="M23" s="258"/>
      <c r="N23" s="258"/>
      <c r="O23" s="257"/>
      <c r="P23" s="258">
        <v>24.1</v>
      </c>
      <c r="Q23" s="241">
        <v>30</v>
      </c>
      <c r="R23" s="257">
        <f t="shared" si="4"/>
        <v>-5.8999999999999986</v>
      </c>
      <c r="S23" s="259"/>
      <c r="T23" s="260"/>
      <c r="U23" s="257">
        <f t="shared" si="5"/>
        <v>0</v>
      </c>
      <c r="V23" s="261"/>
    </row>
    <row r="24" spans="1:23" s="251" customFormat="1" ht="22.5">
      <c r="A24" s="252">
        <v>22</v>
      </c>
      <c r="B24" s="265" t="s">
        <v>227</v>
      </c>
      <c r="C24" s="264" t="s">
        <v>228</v>
      </c>
      <c r="D24" s="242" t="s">
        <v>229</v>
      </c>
      <c r="E24" s="242" t="s">
        <v>230</v>
      </c>
      <c r="F24" s="241">
        <v>52</v>
      </c>
      <c r="G24" s="258"/>
      <c r="H24" s="258"/>
      <c r="I24" s="257"/>
      <c r="J24" s="258"/>
      <c r="K24" s="258"/>
      <c r="L24" s="257"/>
      <c r="M24" s="258"/>
      <c r="N24" s="258"/>
      <c r="O24" s="257"/>
      <c r="P24" s="258">
        <v>47.34</v>
      </c>
      <c r="Q24" s="241">
        <v>46.5</v>
      </c>
      <c r="R24" s="257">
        <f t="shared" si="4"/>
        <v>0.84000000000000341</v>
      </c>
      <c r="S24" s="243">
        <v>51.2</v>
      </c>
      <c r="T24" s="243">
        <v>44.3</v>
      </c>
      <c r="U24" s="257">
        <f t="shared" si="5"/>
        <v>6.9000000000000057</v>
      </c>
      <c r="V24" s="257">
        <v>45.5</v>
      </c>
      <c r="W24" s="267">
        <f t="shared" ref="W24:W29" si="7">V24-T24</f>
        <v>1.2000000000000028</v>
      </c>
    </row>
    <row r="25" spans="1:23" s="251" customFormat="1" ht="22.5">
      <c r="A25" s="252">
        <v>23</v>
      </c>
      <c r="B25" s="265" t="s">
        <v>129</v>
      </c>
      <c r="C25" s="264" t="s">
        <v>231</v>
      </c>
      <c r="D25" s="242" t="s">
        <v>232</v>
      </c>
      <c r="E25" s="242" t="s">
        <v>233</v>
      </c>
      <c r="F25" s="241">
        <v>33</v>
      </c>
      <c r="G25" s="258"/>
      <c r="H25" s="258"/>
      <c r="I25" s="257"/>
      <c r="J25" s="258"/>
      <c r="K25" s="258"/>
      <c r="L25" s="257"/>
      <c r="M25" s="258"/>
      <c r="N25" s="258"/>
      <c r="O25" s="257"/>
      <c r="P25" s="258">
        <v>21.1</v>
      </c>
      <c r="Q25" s="241">
        <v>26.5</v>
      </c>
      <c r="R25" s="257">
        <f t="shared" si="4"/>
        <v>-5.3999999999999986</v>
      </c>
      <c r="S25" s="243">
        <v>27.4</v>
      </c>
      <c r="T25" s="243">
        <v>25.6</v>
      </c>
      <c r="U25" s="257">
        <f t="shared" si="5"/>
        <v>1.7999999999999972</v>
      </c>
      <c r="V25" s="257">
        <v>26.34</v>
      </c>
      <c r="W25" s="267">
        <f t="shared" si="7"/>
        <v>0.73999999999999844</v>
      </c>
    </row>
    <row r="26" spans="1:23" s="251" customFormat="1" ht="22.5">
      <c r="A26" s="252">
        <v>24</v>
      </c>
      <c r="B26" s="265" t="s">
        <v>79</v>
      </c>
      <c r="C26" s="264" t="s">
        <v>234</v>
      </c>
      <c r="D26" s="242" t="s">
        <v>235</v>
      </c>
      <c r="E26" s="242" t="s">
        <v>236</v>
      </c>
      <c r="F26" s="241">
        <v>20</v>
      </c>
      <c r="G26" s="258"/>
      <c r="H26" s="258"/>
      <c r="I26" s="257"/>
      <c r="J26" s="258"/>
      <c r="K26" s="258"/>
      <c r="L26" s="257"/>
      <c r="M26" s="258"/>
      <c r="N26" s="258"/>
      <c r="O26" s="257"/>
      <c r="P26" s="258">
        <v>8</v>
      </c>
      <c r="Q26" s="241">
        <v>2.25</v>
      </c>
      <c r="R26" s="257">
        <f t="shared" si="4"/>
        <v>5.75</v>
      </c>
      <c r="S26" s="241">
        <v>5.3</v>
      </c>
      <c r="T26" s="241">
        <v>1.1000000000000001</v>
      </c>
      <c r="U26" s="257">
        <f t="shared" si="5"/>
        <v>4.1999999999999993</v>
      </c>
      <c r="V26" s="257">
        <v>2.2999999999999998</v>
      </c>
      <c r="W26" s="267">
        <f t="shared" si="7"/>
        <v>1.1999999999999997</v>
      </c>
    </row>
    <row r="27" spans="1:23" s="251" customFormat="1" ht="22.5">
      <c r="A27" s="252">
        <v>25</v>
      </c>
      <c r="B27" s="265" t="s">
        <v>29</v>
      </c>
      <c r="C27" s="264" t="s">
        <v>237</v>
      </c>
      <c r="D27" s="242" t="s">
        <v>238</v>
      </c>
      <c r="E27" s="242" t="s">
        <v>239</v>
      </c>
      <c r="F27" s="266">
        <v>30</v>
      </c>
      <c r="G27" s="258"/>
      <c r="H27" s="258"/>
      <c r="I27" s="257"/>
      <c r="J27" s="258"/>
      <c r="K27" s="258"/>
      <c r="L27" s="257"/>
      <c r="M27" s="258"/>
      <c r="N27" s="258"/>
      <c r="O27" s="257"/>
      <c r="P27" s="257">
        <v>9.1999999999999993</v>
      </c>
      <c r="Q27" s="266">
        <v>4.9000000000000004</v>
      </c>
      <c r="R27" s="257">
        <f t="shared" si="4"/>
        <v>4.2999999999999989</v>
      </c>
      <c r="S27" s="243">
        <v>18.399999999999999</v>
      </c>
      <c r="T27" s="243">
        <v>12.5</v>
      </c>
      <c r="U27" s="257">
        <f t="shared" si="5"/>
        <v>5.8999999999999986</v>
      </c>
      <c r="V27" s="261">
        <v>14.85</v>
      </c>
      <c r="W27" s="267">
        <f t="shared" si="7"/>
        <v>2.3499999999999996</v>
      </c>
    </row>
    <row r="28" spans="1:23" s="251" customFormat="1" ht="11.25">
      <c r="A28" s="252">
        <v>26</v>
      </c>
      <c r="B28" s="265" t="s">
        <v>34</v>
      </c>
      <c r="C28" s="264" t="s">
        <v>240</v>
      </c>
      <c r="D28" s="242" t="s">
        <v>241</v>
      </c>
      <c r="E28" s="242" t="s">
        <v>242</v>
      </c>
      <c r="F28" s="241">
        <v>31</v>
      </c>
      <c r="G28" s="258"/>
      <c r="H28" s="258"/>
      <c r="I28" s="257"/>
      <c r="J28" s="258"/>
      <c r="K28" s="258"/>
      <c r="L28" s="257"/>
      <c r="M28" s="258"/>
      <c r="N28" s="258"/>
      <c r="O28" s="257"/>
      <c r="P28" s="258">
        <v>27</v>
      </c>
      <c r="Q28" s="241">
        <v>27.9</v>
      </c>
      <c r="R28" s="257">
        <f t="shared" si="4"/>
        <v>-0.89999999999999858</v>
      </c>
      <c r="S28" s="243">
        <v>27.8</v>
      </c>
      <c r="T28" s="243">
        <v>25.6</v>
      </c>
      <c r="U28" s="257">
        <f t="shared" si="5"/>
        <v>2.1999999999999993</v>
      </c>
      <c r="V28" s="257">
        <v>28.2</v>
      </c>
      <c r="W28" s="267">
        <f t="shared" si="7"/>
        <v>2.5999999999999979</v>
      </c>
    </row>
    <row r="29" spans="1:23" s="251" customFormat="1" ht="22.5">
      <c r="A29" s="252">
        <v>28</v>
      </c>
      <c r="B29" s="265" t="s">
        <v>40</v>
      </c>
      <c r="C29" s="264" t="s">
        <v>243</v>
      </c>
      <c r="D29" s="242" t="s">
        <v>244</v>
      </c>
      <c r="E29" s="242" t="s">
        <v>245</v>
      </c>
      <c r="F29" s="241">
        <v>21</v>
      </c>
      <c r="G29" s="258"/>
      <c r="H29" s="258"/>
      <c r="I29" s="257"/>
      <c r="J29" s="258"/>
      <c r="K29" s="258"/>
      <c r="L29" s="257"/>
      <c r="M29" s="258"/>
      <c r="N29" s="258"/>
      <c r="O29" s="257"/>
      <c r="P29" s="258">
        <v>19.899999999999999</v>
      </c>
      <c r="Q29" s="241">
        <v>16.2</v>
      </c>
      <c r="R29" s="257">
        <f t="shared" si="4"/>
        <v>3.6999999999999993</v>
      </c>
      <c r="S29" s="243">
        <v>16.850000000000001</v>
      </c>
      <c r="T29" s="243">
        <v>15.45</v>
      </c>
      <c r="U29" s="257">
        <f t="shared" si="5"/>
        <v>1.4000000000000021</v>
      </c>
      <c r="V29" s="257">
        <v>16.899999999999999</v>
      </c>
      <c r="W29" s="267">
        <f t="shared" si="7"/>
        <v>1.4499999999999993</v>
      </c>
    </row>
    <row r="30" spans="1:23" s="251" customFormat="1" ht="11.25">
      <c r="A30" s="252">
        <v>29</v>
      </c>
      <c r="B30" s="265" t="s">
        <v>246</v>
      </c>
      <c r="C30" s="264" t="s">
        <v>247</v>
      </c>
      <c r="D30" s="242" t="s">
        <v>248</v>
      </c>
      <c r="E30" s="242" t="s">
        <v>249</v>
      </c>
      <c r="F30" s="241">
        <v>18</v>
      </c>
      <c r="G30" s="257"/>
      <c r="H30" s="258"/>
      <c r="I30" s="257"/>
      <c r="J30" s="257"/>
      <c r="K30" s="258"/>
      <c r="L30" s="257"/>
      <c r="M30" s="257"/>
      <c r="N30" s="258"/>
      <c r="O30" s="257"/>
      <c r="P30" s="258">
        <v>17.399999999999999</v>
      </c>
      <c r="Q30" s="241">
        <v>18</v>
      </c>
      <c r="R30" s="257">
        <f t="shared" si="4"/>
        <v>-0.60000000000000142</v>
      </c>
      <c r="S30" s="259"/>
      <c r="T30" s="260"/>
      <c r="U30" s="257">
        <f t="shared" si="5"/>
        <v>0</v>
      </c>
      <c r="V30" s="261"/>
    </row>
    <row r="31" spans="1:23" s="251" customFormat="1" ht="22.5">
      <c r="A31" s="252">
        <v>30</v>
      </c>
      <c r="B31" s="265" t="s">
        <v>250</v>
      </c>
      <c r="C31" s="264" t="s">
        <v>251</v>
      </c>
      <c r="D31" s="242" t="s">
        <v>252</v>
      </c>
      <c r="E31" s="242" t="s">
        <v>253</v>
      </c>
      <c r="F31" s="241">
        <v>31.5</v>
      </c>
      <c r="G31" s="257"/>
      <c r="H31" s="257"/>
      <c r="I31" s="257"/>
      <c r="J31" s="257"/>
      <c r="K31" s="257"/>
      <c r="L31" s="257"/>
      <c r="M31" s="257"/>
      <c r="N31" s="257"/>
      <c r="O31" s="257"/>
      <c r="P31" s="258">
        <v>30.7</v>
      </c>
      <c r="Q31" s="241">
        <v>28.6</v>
      </c>
      <c r="R31" s="257">
        <f t="shared" si="4"/>
        <v>2.0999999999999979</v>
      </c>
      <c r="S31" s="243">
        <v>29.95</v>
      </c>
      <c r="T31" s="243">
        <v>25.5</v>
      </c>
      <c r="U31" s="257">
        <f t="shared" si="5"/>
        <v>4.4499999999999993</v>
      </c>
      <c r="V31" s="257">
        <v>27.5</v>
      </c>
      <c r="W31" s="267">
        <f t="shared" ref="W31:W87" si="8">V31-T31</f>
        <v>2</v>
      </c>
    </row>
    <row r="32" spans="1:23" s="251" customFormat="1" ht="11.25">
      <c r="A32" s="252">
        <v>31</v>
      </c>
      <c r="B32" s="265" t="s">
        <v>254</v>
      </c>
      <c r="C32" s="264" t="s">
        <v>255</v>
      </c>
      <c r="D32" s="242" t="s">
        <v>256</v>
      </c>
      <c r="E32" s="242" t="s">
        <v>257</v>
      </c>
      <c r="F32" s="241">
        <v>13.5</v>
      </c>
      <c r="G32" s="258"/>
      <c r="H32" s="258"/>
      <c r="I32" s="257"/>
      <c r="J32" s="258"/>
      <c r="K32" s="258"/>
      <c r="L32" s="257"/>
      <c r="M32" s="258"/>
      <c r="N32" s="258"/>
      <c r="O32" s="257"/>
      <c r="P32" s="258">
        <v>7.9</v>
      </c>
      <c r="Q32" s="241">
        <v>10</v>
      </c>
      <c r="R32" s="257">
        <f t="shared" si="4"/>
        <v>-2.0999999999999996</v>
      </c>
      <c r="S32" s="243">
        <v>12.9</v>
      </c>
      <c r="T32" s="243">
        <v>8.6</v>
      </c>
      <c r="U32" s="257">
        <f t="shared" si="5"/>
        <v>4.3000000000000007</v>
      </c>
      <c r="V32" s="257">
        <v>10.8</v>
      </c>
      <c r="W32" s="267">
        <f t="shared" si="8"/>
        <v>2.2000000000000011</v>
      </c>
    </row>
    <row r="33" spans="1:23" s="251" customFormat="1" ht="11.25">
      <c r="A33" s="252">
        <v>32</v>
      </c>
      <c r="B33" s="265" t="s">
        <v>6</v>
      </c>
      <c r="C33" s="264" t="s">
        <v>258</v>
      </c>
      <c r="D33" s="242" t="s">
        <v>259</v>
      </c>
      <c r="E33" s="242" t="s">
        <v>260</v>
      </c>
      <c r="F33" s="241">
        <v>30</v>
      </c>
      <c r="G33" s="257"/>
      <c r="H33" s="257"/>
      <c r="I33" s="257"/>
      <c r="J33" s="257"/>
      <c r="K33" s="257"/>
      <c r="L33" s="257"/>
      <c r="M33" s="257"/>
      <c r="N33" s="257"/>
      <c r="O33" s="257"/>
      <c r="P33" s="257">
        <v>8.24</v>
      </c>
      <c r="Q33" s="257">
        <v>10</v>
      </c>
      <c r="R33" s="257">
        <f t="shared" si="4"/>
        <v>-1.7599999999999998</v>
      </c>
      <c r="S33" s="243">
        <v>9.9499999999999993</v>
      </c>
      <c r="T33" s="243">
        <v>7</v>
      </c>
      <c r="U33" s="257">
        <f t="shared" si="5"/>
        <v>2.9499999999999993</v>
      </c>
      <c r="V33" s="261">
        <v>8.5</v>
      </c>
      <c r="W33" s="267">
        <f t="shared" si="8"/>
        <v>1.5</v>
      </c>
    </row>
    <row r="34" spans="1:23" s="251" customFormat="1" ht="22.5">
      <c r="A34" s="252">
        <v>33</v>
      </c>
      <c r="B34" s="265" t="s">
        <v>261</v>
      </c>
      <c r="C34" s="264" t="s">
        <v>262</v>
      </c>
      <c r="D34" s="242" t="s">
        <v>263</v>
      </c>
      <c r="E34" s="242" t="s">
        <v>264</v>
      </c>
      <c r="F34" s="241">
        <v>18</v>
      </c>
      <c r="G34" s="258"/>
      <c r="H34" s="258"/>
      <c r="I34" s="257"/>
      <c r="J34" s="258"/>
      <c r="K34" s="258"/>
      <c r="L34" s="257"/>
      <c r="M34" s="258"/>
      <c r="N34" s="258"/>
      <c r="O34" s="257"/>
      <c r="P34" s="258">
        <v>13.7</v>
      </c>
      <c r="Q34" s="241">
        <v>13.9</v>
      </c>
      <c r="R34" s="257">
        <f t="shared" si="4"/>
        <v>-0.20000000000000107</v>
      </c>
      <c r="S34" s="243">
        <v>13.8</v>
      </c>
      <c r="T34" s="243">
        <v>12.9</v>
      </c>
      <c r="U34" s="257">
        <f t="shared" si="5"/>
        <v>0.90000000000000036</v>
      </c>
      <c r="V34" s="257">
        <v>13.5</v>
      </c>
      <c r="W34" s="267">
        <f t="shared" si="8"/>
        <v>0.59999999999999964</v>
      </c>
    </row>
    <row r="35" spans="1:23" s="251" customFormat="1" ht="22.5">
      <c r="A35" s="252">
        <v>34</v>
      </c>
      <c r="B35" s="265" t="s">
        <v>22</v>
      </c>
      <c r="C35" s="264" t="s">
        <v>265</v>
      </c>
      <c r="D35" s="242" t="s">
        <v>266</v>
      </c>
      <c r="E35" s="242" t="s">
        <v>267</v>
      </c>
      <c r="F35" s="241">
        <v>16.8</v>
      </c>
      <c r="G35" s="257"/>
      <c r="H35" s="257"/>
      <c r="I35" s="257"/>
      <c r="J35" s="257"/>
      <c r="K35" s="257"/>
      <c r="L35" s="257"/>
      <c r="M35" s="257"/>
      <c r="N35" s="257"/>
      <c r="O35" s="257"/>
      <c r="P35" s="258">
        <v>11.5</v>
      </c>
      <c r="Q35" s="241">
        <v>8.6</v>
      </c>
      <c r="R35" s="257">
        <f t="shared" si="4"/>
        <v>2.9000000000000004</v>
      </c>
      <c r="S35" s="243">
        <v>13.95</v>
      </c>
      <c r="T35" s="243">
        <v>12.75</v>
      </c>
      <c r="U35" s="257">
        <f t="shared" si="5"/>
        <v>1.1999999999999993</v>
      </c>
      <c r="V35" s="257">
        <v>13.6</v>
      </c>
      <c r="W35" s="267">
        <f t="shared" si="8"/>
        <v>0.84999999999999964</v>
      </c>
    </row>
    <row r="36" spans="1:23" s="251" customFormat="1" ht="11.25">
      <c r="A36" s="252">
        <v>35</v>
      </c>
      <c r="B36" s="265" t="s">
        <v>37</v>
      </c>
      <c r="C36" s="264" t="s">
        <v>268</v>
      </c>
      <c r="D36" s="242" t="s">
        <v>269</v>
      </c>
      <c r="E36" s="242" t="s">
        <v>270</v>
      </c>
      <c r="F36" s="241">
        <v>30</v>
      </c>
      <c r="G36" s="257"/>
      <c r="H36" s="257"/>
      <c r="I36" s="257"/>
      <c r="J36" s="257"/>
      <c r="K36" s="257"/>
      <c r="L36" s="257"/>
      <c r="M36" s="257"/>
      <c r="N36" s="257"/>
      <c r="O36" s="257"/>
      <c r="P36" s="257">
        <v>25.85</v>
      </c>
      <c r="Q36" s="257">
        <v>28.2</v>
      </c>
      <c r="R36" s="257">
        <f t="shared" si="4"/>
        <v>-2.3499999999999979</v>
      </c>
      <c r="S36" s="243">
        <v>29.4</v>
      </c>
      <c r="T36" s="243">
        <v>25.2</v>
      </c>
      <c r="U36" s="257">
        <f t="shared" si="5"/>
        <v>4.1999999999999993</v>
      </c>
      <c r="V36" s="261">
        <v>27.95</v>
      </c>
      <c r="W36" s="267">
        <f t="shared" si="8"/>
        <v>2.75</v>
      </c>
    </row>
    <row r="37" spans="1:23" s="251" customFormat="1" ht="37.15" customHeight="1">
      <c r="A37" s="252">
        <v>37</v>
      </c>
      <c r="B37" s="264" t="s">
        <v>192</v>
      </c>
      <c r="C37" s="264" t="s">
        <v>271</v>
      </c>
      <c r="D37" s="243">
        <v>26.421681769999999</v>
      </c>
      <c r="E37" s="243">
        <v>74.335114469999994</v>
      </c>
      <c r="F37" s="243">
        <v>33.15</v>
      </c>
      <c r="G37" s="243"/>
      <c r="H37" s="243"/>
      <c r="I37" s="243"/>
      <c r="J37" s="243"/>
      <c r="K37" s="243"/>
      <c r="L37" s="257"/>
      <c r="M37" s="243"/>
      <c r="N37" s="243"/>
      <c r="O37" s="257"/>
      <c r="P37" s="243"/>
      <c r="Q37" s="243"/>
      <c r="R37" s="257"/>
      <c r="S37" s="243">
        <v>25.7</v>
      </c>
      <c r="T37" s="243">
        <v>17.600000000000001</v>
      </c>
      <c r="U37" s="257">
        <f t="shared" si="5"/>
        <v>8.0999999999999979</v>
      </c>
      <c r="V37" s="261">
        <v>19.52</v>
      </c>
      <c r="W37" s="267">
        <f t="shared" si="8"/>
        <v>1.9199999999999982</v>
      </c>
    </row>
    <row r="38" spans="1:23" s="251" customFormat="1" ht="22.5">
      <c r="A38" s="252">
        <v>38</v>
      </c>
      <c r="B38" s="264" t="s">
        <v>272</v>
      </c>
      <c r="C38" s="264" t="s">
        <v>273</v>
      </c>
      <c r="D38" s="243">
        <v>26.468989400000002</v>
      </c>
      <c r="E38" s="243">
        <v>74.360889749999998</v>
      </c>
      <c r="F38" s="243">
        <v>23.4</v>
      </c>
      <c r="G38" s="243"/>
      <c r="H38" s="243"/>
      <c r="I38" s="243"/>
      <c r="J38" s="243"/>
      <c r="K38" s="243"/>
      <c r="L38" s="257"/>
      <c r="M38" s="243"/>
      <c r="N38" s="243"/>
      <c r="O38" s="257"/>
      <c r="P38" s="243"/>
      <c r="Q38" s="243"/>
      <c r="R38" s="257"/>
      <c r="S38" s="243">
        <v>14.9</v>
      </c>
      <c r="T38" s="243">
        <v>14.65</v>
      </c>
      <c r="U38" s="257">
        <f t="shared" si="5"/>
        <v>0.25</v>
      </c>
      <c r="V38" s="261">
        <v>15.3</v>
      </c>
      <c r="W38" s="267">
        <f t="shared" si="8"/>
        <v>0.65000000000000036</v>
      </c>
    </row>
    <row r="39" spans="1:23" s="251" customFormat="1" ht="22.5">
      <c r="A39" s="252">
        <v>39</v>
      </c>
      <c r="B39" s="264" t="s">
        <v>272</v>
      </c>
      <c r="C39" s="264" t="s">
        <v>274</v>
      </c>
      <c r="D39" s="243">
        <v>26.449547160000002</v>
      </c>
      <c r="E39" s="243">
        <v>74.354324700000006</v>
      </c>
      <c r="F39" s="243">
        <v>24.7</v>
      </c>
      <c r="G39" s="243"/>
      <c r="H39" s="243"/>
      <c r="I39" s="243"/>
      <c r="J39" s="243"/>
      <c r="K39" s="243"/>
      <c r="L39" s="257"/>
      <c r="M39" s="243"/>
      <c r="N39" s="243"/>
      <c r="O39" s="257"/>
      <c r="P39" s="243"/>
      <c r="Q39" s="243"/>
      <c r="R39" s="257"/>
      <c r="S39" s="243">
        <v>16.25</v>
      </c>
      <c r="T39" s="243">
        <v>12.5</v>
      </c>
      <c r="U39" s="257">
        <f t="shared" si="5"/>
        <v>3.75</v>
      </c>
      <c r="V39" s="261">
        <v>15.81</v>
      </c>
      <c r="W39" s="267">
        <f t="shared" si="8"/>
        <v>3.3100000000000005</v>
      </c>
    </row>
    <row r="40" spans="1:23" s="251" customFormat="1" ht="33.75">
      <c r="A40" s="252">
        <v>40</v>
      </c>
      <c r="B40" s="264" t="s">
        <v>272</v>
      </c>
      <c r="C40" s="264" t="s">
        <v>275</v>
      </c>
      <c r="D40" s="243">
        <v>26.44872221</v>
      </c>
      <c r="E40" s="243">
        <v>74.355249979999996</v>
      </c>
      <c r="F40" s="243">
        <v>23.7</v>
      </c>
      <c r="G40" s="243"/>
      <c r="H40" s="243"/>
      <c r="I40" s="243"/>
      <c r="J40" s="243"/>
      <c r="K40" s="243"/>
      <c r="L40" s="257"/>
      <c r="M40" s="243"/>
      <c r="N40" s="243"/>
      <c r="O40" s="257"/>
      <c r="P40" s="243"/>
      <c r="Q40" s="243"/>
      <c r="R40" s="257"/>
      <c r="S40" s="243">
        <v>15.45</v>
      </c>
      <c r="T40" s="243">
        <v>14.4</v>
      </c>
      <c r="U40" s="257">
        <f t="shared" si="5"/>
        <v>1.0499999999999989</v>
      </c>
      <c r="V40" s="261">
        <v>16.2</v>
      </c>
      <c r="W40" s="267">
        <f t="shared" si="8"/>
        <v>1.7999999999999989</v>
      </c>
    </row>
    <row r="41" spans="1:23" s="251" customFormat="1" ht="11.25">
      <c r="A41" s="252">
        <v>41</v>
      </c>
      <c r="B41" s="264" t="s">
        <v>192</v>
      </c>
      <c r="C41" s="264" t="s">
        <v>276</v>
      </c>
      <c r="D41" s="243">
        <v>26.426081100000001</v>
      </c>
      <c r="E41" s="243">
        <v>74.353060290000002</v>
      </c>
      <c r="F41" s="243">
        <v>28.6</v>
      </c>
      <c r="G41" s="243"/>
      <c r="H41" s="243"/>
      <c r="I41" s="243"/>
      <c r="J41" s="243"/>
      <c r="K41" s="243"/>
      <c r="L41" s="257"/>
      <c r="M41" s="243"/>
      <c r="N41" s="243"/>
      <c r="O41" s="257"/>
      <c r="P41" s="243"/>
      <c r="Q41" s="243"/>
      <c r="R41" s="257"/>
      <c r="S41" s="243">
        <v>28.4</v>
      </c>
      <c r="T41" s="243">
        <v>19.600000000000001</v>
      </c>
      <c r="U41" s="257">
        <f t="shared" si="5"/>
        <v>8.7999999999999972</v>
      </c>
      <c r="V41" s="261">
        <v>21.97</v>
      </c>
      <c r="W41" s="267">
        <f t="shared" si="8"/>
        <v>2.3699999999999974</v>
      </c>
    </row>
    <row r="42" spans="1:23" s="251" customFormat="1" ht="11.25">
      <c r="A42" s="252">
        <v>42</v>
      </c>
      <c r="B42" s="264" t="s">
        <v>192</v>
      </c>
      <c r="C42" s="264" t="s">
        <v>277</v>
      </c>
      <c r="D42" s="243">
        <v>26.367693769999999</v>
      </c>
      <c r="E42" s="243">
        <v>74.360150630000007</v>
      </c>
      <c r="F42" s="243">
        <v>35</v>
      </c>
      <c r="G42" s="243"/>
      <c r="H42" s="243"/>
      <c r="I42" s="243"/>
      <c r="J42" s="243"/>
      <c r="K42" s="243"/>
      <c r="L42" s="257"/>
      <c r="M42" s="243"/>
      <c r="N42" s="243"/>
      <c r="O42" s="257"/>
      <c r="P42" s="243"/>
      <c r="Q42" s="243"/>
      <c r="R42" s="257"/>
      <c r="S42" s="243">
        <v>23.9</v>
      </c>
      <c r="T42" s="243">
        <v>21.2</v>
      </c>
      <c r="U42" s="257">
        <f t="shared" si="5"/>
        <v>2.6999999999999993</v>
      </c>
      <c r="V42" s="261">
        <v>23.4</v>
      </c>
      <c r="W42" s="267">
        <f t="shared" si="8"/>
        <v>2.1999999999999993</v>
      </c>
    </row>
    <row r="43" spans="1:23" s="251" customFormat="1" ht="33.75">
      <c r="A43" s="252">
        <v>43</v>
      </c>
      <c r="B43" s="264" t="s">
        <v>272</v>
      </c>
      <c r="C43" s="264" t="s">
        <v>278</v>
      </c>
      <c r="D43" s="243">
        <v>26.468419099999998</v>
      </c>
      <c r="E43" s="243">
        <v>74.377055420000005</v>
      </c>
      <c r="F43" s="243">
        <v>22.85</v>
      </c>
      <c r="G43" s="243"/>
      <c r="H43" s="243"/>
      <c r="I43" s="243"/>
      <c r="J43" s="243"/>
      <c r="K43" s="243"/>
      <c r="L43" s="257"/>
      <c r="M43" s="243"/>
      <c r="N43" s="243"/>
      <c r="O43" s="257"/>
      <c r="P43" s="243"/>
      <c r="Q43" s="243"/>
      <c r="R43" s="257"/>
      <c r="S43" s="243">
        <v>13.6</v>
      </c>
      <c r="T43" s="243">
        <v>12</v>
      </c>
      <c r="U43" s="257">
        <f t="shared" si="5"/>
        <v>1.5999999999999996</v>
      </c>
      <c r="V43" s="261">
        <v>13.4</v>
      </c>
      <c r="W43" s="267">
        <f t="shared" si="8"/>
        <v>1.4000000000000004</v>
      </c>
    </row>
    <row r="44" spans="1:23" s="251" customFormat="1" ht="22.5">
      <c r="A44" s="252">
        <v>44</v>
      </c>
      <c r="B44" s="264" t="s">
        <v>272</v>
      </c>
      <c r="C44" s="264" t="s">
        <v>279</v>
      </c>
      <c r="D44" s="243">
        <v>26.461835700000002</v>
      </c>
      <c r="E44" s="243">
        <v>74.380389149999999</v>
      </c>
      <c r="F44" s="243">
        <v>16.75</v>
      </c>
      <c r="G44" s="243"/>
      <c r="H44" s="243"/>
      <c r="I44" s="243"/>
      <c r="J44" s="243"/>
      <c r="K44" s="243"/>
      <c r="L44" s="257"/>
      <c r="M44" s="243"/>
      <c r="N44" s="243"/>
      <c r="O44" s="257"/>
      <c r="P44" s="243"/>
      <c r="Q44" s="243"/>
      <c r="R44" s="257"/>
      <c r="S44" s="243">
        <v>13.6</v>
      </c>
      <c r="T44" s="243">
        <v>12.75</v>
      </c>
      <c r="U44" s="257">
        <f t="shared" si="5"/>
        <v>0.84999999999999964</v>
      </c>
      <c r="V44" s="261">
        <v>14.19</v>
      </c>
      <c r="W44" s="267">
        <f t="shared" si="8"/>
        <v>1.4399999999999995</v>
      </c>
    </row>
    <row r="45" spans="1:23" s="251" customFormat="1" ht="11.25">
      <c r="A45" s="252">
        <v>45</v>
      </c>
      <c r="B45" s="264" t="s">
        <v>280</v>
      </c>
      <c r="C45" s="264" t="s">
        <v>281</v>
      </c>
      <c r="D45" s="243">
        <v>26.449487139999999</v>
      </c>
      <c r="E45" s="243">
        <v>74.376668589999994</v>
      </c>
      <c r="F45" s="243">
        <v>15.6</v>
      </c>
      <c r="G45" s="243"/>
      <c r="H45" s="243"/>
      <c r="I45" s="243"/>
      <c r="J45" s="243"/>
      <c r="K45" s="243"/>
      <c r="L45" s="257"/>
      <c r="M45" s="243"/>
      <c r="N45" s="243"/>
      <c r="O45" s="257"/>
      <c r="P45" s="243"/>
      <c r="Q45" s="243"/>
      <c r="R45" s="257"/>
      <c r="S45" s="243">
        <v>5.6</v>
      </c>
      <c r="T45" s="243">
        <v>4.7</v>
      </c>
      <c r="U45" s="257">
        <f t="shared" ref="U45:U76" si="9">S45-T45</f>
        <v>0.89999999999999947</v>
      </c>
      <c r="V45" s="261">
        <v>7.9</v>
      </c>
      <c r="W45" s="267">
        <f t="shared" si="8"/>
        <v>3.2</v>
      </c>
    </row>
    <row r="46" spans="1:23" s="251" customFormat="1" ht="22.5">
      <c r="A46" s="252">
        <v>46</v>
      </c>
      <c r="B46" s="264" t="s">
        <v>282</v>
      </c>
      <c r="C46" s="264" t="s">
        <v>283</v>
      </c>
      <c r="D46" s="243">
        <v>26.42280805</v>
      </c>
      <c r="E46" s="243">
        <v>74.38101503</v>
      </c>
      <c r="F46" s="243">
        <v>24.2</v>
      </c>
      <c r="G46" s="243"/>
      <c r="H46" s="243"/>
      <c r="I46" s="243"/>
      <c r="J46" s="243"/>
      <c r="K46" s="243"/>
      <c r="L46" s="257"/>
      <c r="M46" s="243"/>
      <c r="N46" s="243"/>
      <c r="O46" s="257"/>
      <c r="P46" s="243"/>
      <c r="Q46" s="243"/>
      <c r="R46" s="257"/>
      <c r="S46" s="243">
        <v>18.55</v>
      </c>
      <c r="T46" s="243">
        <v>18.2</v>
      </c>
      <c r="U46" s="257">
        <f t="shared" si="9"/>
        <v>0.35000000000000142</v>
      </c>
      <c r="V46" s="261">
        <v>19.100000000000001</v>
      </c>
      <c r="W46" s="267">
        <f t="shared" si="8"/>
        <v>0.90000000000000213</v>
      </c>
    </row>
    <row r="47" spans="1:23" s="251" customFormat="1" ht="33.75">
      <c r="A47" s="252">
        <v>47</v>
      </c>
      <c r="B47" s="264" t="s">
        <v>192</v>
      </c>
      <c r="C47" s="264" t="s">
        <v>284</v>
      </c>
      <c r="D47" s="243">
        <v>26.378502399999999</v>
      </c>
      <c r="E47" s="243">
        <v>74.369295960000002</v>
      </c>
      <c r="F47" s="243">
        <v>23</v>
      </c>
      <c r="G47" s="243"/>
      <c r="H47" s="243"/>
      <c r="I47" s="243"/>
      <c r="J47" s="243"/>
      <c r="K47" s="243"/>
      <c r="L47" s="257"/>
      <c r="M47" s="243"/>
      <c r="N47" s="243"/>
      <c r="O47" s="257"/>
      <c r="P47" s="243"/>
      <c r="Q47" s="243"/>
      <c r="R47" s="257"/>
      <c r="S47" s="243">
        <v>21.85</v>
      </c>
      <c r="T47" s="243">
        <v>19.149999999999999</v>
      </c>
      <c r="U47" s="257">
        <f t="shared" si="9"/>
        <v>2.7000000000000028</v>
      </c>
      <c r="V47" s="261">
        <v>21.5</v>
      </c>
      <c r="W47" s="267">
        <f t="shared" si="8"/>
        <v>2.3500000000000014</v>
      </c>
    </row>
    <row r="48" spans="1:23" s="251" customFormat="1" ht="33.75">
      <c r="A48" s="252">
        <v>48</v>
      </c>
      <c r="B48" s="264" t="s">
        <v>272</v>
      </c>
      <c r="C48" s="264" t="s">
        <v>285</v>
      </c>
      <c r="D48" s="243">
        <v>26.457136720000001</v>
      </c>
      <c r="E48" s="243">
        <v>74.393377000000001</v>
      </c>
      <c r="F48" s="243">
        <v>9.5</v>
      </c>
      <c r="G48" s="243"/>
      <c r="H48" s="243"/>
      <c r="I48" s="243"/>
      <c r="J48" s="243"/>
      <c r="K48" s="243"/>
      <c r="L48" s="257"/>
      <c r="M48" s="243"/>
      <c r="N48" s="243"/>
      <c r="O48" s="257"/>
      <c r="P48" s="243"/>
      <c r="Q48" s="243"/>
      <c r="R48" s="257"/>
      <c r="S48" s="243">
        <v>8.4</v>
      </c>
      <c r="T48" s="243">
        <v>6.6</v>
      </c>
      <c r="U48" s="257">
        <f t="shared" si="9"/>
        <v>1.8000000000000007</v>
      </c>
      <c r="V48" s="261">
        <v>8.85</v>
      </c>
      <c r="W48" s="267">
        <f t="shared" si="8"/>
        <v>2.25</v>
      </c>
    </row>
    <row r="49" spans="1:23" s="251" customFormat="1" ht="11.25">
      <c r="A49" s="252">
        <v>49</v>
      </c>
      <c r="B49" s="264" t="s">
        <v>280</v>
      </c>
      <c r="C49" s="264" t="s">
        <v>286</v>
      </c>
      <c r="D49" s="243">
        <v>26.444481809999999</v>
      </c>
      <c r="E49" s="243">
        <v>74.387850310000005</v>
      </c>
      <c r="F49" s="243">
        <v>13.3</v>
      </c>
      <c r="G49" s="243"/>
      <c r="H49" s="243"/>
      <c r="I49" s="243"/>
      <c r="J49" s="243"/>
      <c r="K49" s="243"/>
      <c r="L49" s="257"/>
      <c r="M49" s="243"/>
      <c r="N49" s="243"/>
      <c r="O49" s="257"/>
      <c r="P49" s="243"/>
      <c r="Q49" s="243"/>
      <c r="R49" s="257"/>
      <c r="S49" s="243">
        <v>4.3</v>
      </c>
      <c r="T49" s="243">
        <v>3.7</v>
      </c>
      <c r="U49" s="257">
        <f t="shared" si="9"/>
        <v>0.59999999999999964</v>
      </c>
      <c r="V49" s="261">
        <v>5.4</v>
      </c>
      <c r="W49" s="267">
        <f t="shared" si="8"/>
        <v>1.7000000000000002</v>
      </c>
    </row>
    <row r="50" spans="1:23" s="251" customFormat="1" ht="11.25">
      <c r="A50" s="252">
        <v>50</v>
      </c>
      <c r="B50" s="264" t="s">
        <v>280</v>
      </c>
      <c r="C50" s="264" t="s">
        <v>287</v>
      </c>
      <c r="D50" s="243">
        <v>26.432177509999999</v>
      </c>
      <c r="E50" s="243">
        <v>74.383933940000006</v>
      </c>
      <c r="F50" s="243">
        <v>15.15</v>
      </c>
      <c r="G50" s="243"/>
      <c r="H50" s="243"/>
      <c r="I50" s="243"/>
      <c r="J50" s="243"/>
      <c r="K50" s="243"/>
      <c r="L50" s="257"/>
      <c r="M50" s="243"/>
      <c r="N50" s="243"/>
      <c r="O50" s="257"/>
      <c r="P50" s="243"/>
      <c r="Q50" s="243"/>
      <c r="R50" s="257"/>
      <c r="S50" s="243">
        <v>13.3</v>
      </c>
      <c r="T50" s="243">
        <v>8.8000000000000007</v>
      </c>
      <c r="U50" s="257">
        <f t="shared" si="9"/>
        <v>4.5</v>
      </c>
      <c r="V50" s="261">
        <v>11.96</v>
      </c>
      <c r="W50" s="267">
        <f t="shared" si="8"/>
        <v>3.16</v>
      </c>
    </row>
    <row r="51" spans="1:23" s="251" customFormat="1" ht="33.75">
      <c r="A51" s="252">
        <v>51</v>
      </c>
      <c r="B51" s="264" t="s">
        <v>282</v>
      </c>
      <c r="C51" s="264" t="s">
        <v>288</v>
      </c>
      <c r="D51" s="243">
        <v>26.43130554</v>
      </c>
      <c r="E51" s="243">
        <v>74.395444389999994</v>
      </c>
      <c r="F51" s="243">
        <v>11.8</v>
      </c>
      <c r="G51" s="243"/>
      <c r="H51" s="243"/>
      <c r="I51" s="243"/>
      <c r="J51" s="243"/>
      <c r="K51" s="243"/>
      <c r="L51" s="257"/>
      <c r="M51" s="243"/>
      <c r="N51" s="243"/>
      <c r="O51" s="257"/>
      <c r="P51" s="243"/>
      <c r="Q51" s="243"/>
      <c r="R51" s="257"/>
      <c r="S51" s="243">
        <v>9.9</v>
      </c>
      <c r="T51" s="243">
        <v>9.25</v>
      </c>
      <c r="U51" s="257">
        <f t="shared" si="9"/>
        <v>0.65000000000000036</v>
      </c>
      <c r="V51" s="261">
        <v>9.84</v>
      </c>
      <c r="W51" s="267">
        <f t="shared" si="8"/>
        <v>0.58999999999999986</v>
      </c>
    </row>
    <row r="52" spans="1:23" s="251" customFormat="1" ht="33.75">
      <c r="A52" s="252">
        <v>52</v>
      </c>
      <c r="B52" s="264" t="s">
        <v>289</v>
      </c>
      <c r="C52" s="264" t="s">
        <v>290</v>
      </c>
      <c r="D52" s="243">
        <v>26.460233410000001</v>
      </c>
      <c r="E52" s="243">
        <v>74.401370400000005</v>
      </c>
      <c r="F52" s="243">
        <v>21</v>
      </c>
      <c r="G52" s="243"/>
      <c r="H52" s="243"/>
      <c r="I52" s="243"/>
      <c r="J52" s="243"/>
      <c r="K52" s="243"/>
      <c r="L52" s="257"/>
      <c r="M52" s="243"/>
      <c r="N52" s="243"/>
      <c r="O52" s="257"/>
      <c r="P52" s="243"/>
      <c r="Q52" s="243"/>
      <c r="R52" s="257"/>
      <c r="S52" s="243">
        <v>14.3</v>
      </c>
      <c r="T52" s="243">
        <v>14.2</v>
      </c>
      <c r="U52" s="257">
        <f t="shared" si="9"/>
        <v>0.10000000000000142</v>
      </c>
      <c r="V52" s="261">
        <v>14.5</v>
      </c>
      <c r="W52" s="267">
        <f t="shared" si="8"/>
        <v>0.30000000000000071</v>
      </c>
    </row>
    <row r="53" spans="1:23" s="251" customFormat="1" ht="33.75">
      <c r="A53" s="252">
        <v>53</v>
      </c>
      <c r="B53" s="264" t="s">
        <v>291</v>
      </c>
      <c r="C53" s="264" t="s">
        <v>292</v>
      </c>
      <c r="D53" s="243">
        <v>26.363526369999999</v>
      </c>
      <c r="E53" s="243">
        <v>74.407720359999999</v>
      </c>
      <c r="F53" s="243">
        <v>21.1</v>
      </c>
      <c r="G53" s="243"/>
      <c r="H53" s="243"/>
      <c r="I53" s="243"/>
      <c r="J53" s="243"/>
      <c r="K53" s="243"/>
      <c r="L53" s="257"/>
      <c r="M53" s="243"/>
      <c r="N53" s="243"/>
      <c r="O53" s="257"/>
      <c r="P53" s="243"/>
      <c r="Q53" s="243"/>
      <c r="R53" s="257"/>
      <c r="S53" s="243">
        <v>8.75</v>
      </c>
      <c r="T53" s="243">
        <v>7.4</v>
      </c>
      <c r="U53" s="257">
        <f t="shared" si="9"/>
        <v>1.3499999999999996</v>
      </c>
      <c r="V53" s="261">
        <v>9.35</v>
      </c>
      <c r="W53" s="267">
        <f t="shared" si="8"/>
        <v>1.9499999999999993</v>
      </c>
    </row>
    <row r="54" spans="1:23" s="251" customFormat="1" ht="22.5">
      <c r="A54" s="252">
        <v>54</v>
      </c>
      <c r="B54" s="264" t="s">
        <v>293</v>
      </c>
      <c r="C54" s="264" t="s">
        <v>294</v>
      </c>
      <c r="D54" s="243">
        <v>26.363067539999999</v>
      </c>
      <c r="E54" s="243">
        <v>74.427046180000005</v>
      </c>
      <c r="F54" s="243">
        <v>28.4</v>
      </c>
      <c r="G54" s="243"/>
      <c r="H54" s="243"/>
      <c r="I54" s="243"/>
      <c r="J54" s="243"/>
      <c r="K54" s="243"/>
      <c r="L54" s="257"/>
      <c r="M54" s="243"/>
      <c r="N54" s="243"/>
      <c r="O54" s="257"/>
      <c r="P54" s="243"/>
      <c r="Q54" s="243"/>
      <c r="R54" s="257"/>
      <c r="S54" s="243">
        <v>26.05</v>
      </c>
      <c r="T54" s="243">
        <v>22.25</v>
      </c>
      <c r="U54" s="257">
        <f t="shared" si="9"/>
        <v>3.8000000000000007</v>
      </c>
      <c r="V54" s="261">
        <v>23.5</v>
      </c>
      <c r="W54" s="267">
        <f t="shared" si="8"/>
        <v>1.25</v>
      </c>
    </row>
    <row r="55" spans="1:23" s="251" customFormat="1" ht="22.5">
      <c r="A55" s="252">
        <v>55</v>
      </c>
      <c r="B55" s="264" t="s">
        <v>295</v>
      </c>
      <c r="C55" s="264" t="s">
        <v>296</v>
      </c>
      <c r="D55" s="243">
        <v>26.40503841</v>
      </c>
      <c r="E55" s="243">
        <v>74.440344319999994</v>
      </c>
      <c r="F55" s="243">
        <v>46.9</v>
      </c>
      <c r="G55" s="243"/>
      <c r="H55" s="243"/>
      <c r="I55" s="243"/>
      <c r="J55" s="243"/>
      <c r="K55" s="243"/>
      <c r="L55" s="257"/>
      <c r="M55" s="243"/>
      <c r="N55" s="243"/>
      <c r="O55" s="257"/>
      <c r="P55" s="243"/>
      <c r="Q55" s="243"/>
      <c r="R55" s="257"/>
      <c r="S55" s="243">
        <v>34.5</v>
      </c>
      <c r="T55" s="243">
        <v>33.299999999999997</v>
      </c>
      <c r="U55" s="257">
        <f t="shared" si="9"/>
        <v>1.2000000000000028</v>
      </c>
      <c r="V55" s="261">
        <v>34.25</v>
      </c>
      <c r="W55" s="267">
        <f t="shared" si="8"/>
        <v>0.95000000000000284</v>
      </c>
    </row>
    <row r="56" spans="1:23" s="251" customFormat="1" ht="22.5">
      <c r="A56" s="252">
        <v>56</v>
      </c>
      <c r="B56" s="264" t="s">
        <v>297</v>
      </c>
      <c r="C56" s="264" t="s">
        <v>298</v>
      </c>
      <c r="D56" s="243">
        <v>26.349827319999999</v>
      </c>
      <c r="E56" s="243">
        <v>74.445631789999993</v>
      </c>
      <c r="F56" s="243">
        <v>34.35</v>
      </c>
      <c r="G56" s="243"/>
      <c r="H56" s="243"/>
      <c r="I56" s="243"/>
      <c r="J56" s="243"/>
      <c r="K56" s="243"/>
      <c r="L56" s="257"/>
      <c r="M56" s="243"/>
      <c r="N56" s="243"/>
      <c r="O56" s="257"/>
      <c r="P56" s="243"/>
      <c r="Q56" s="243"/>
      <c r="R56" s="257"/>
      <c r="S56" s="243">
        <v>30.15</v>
      </c>
      <c r="T56" s="243">
        <v>29.65</v>
      </c>
      <c r="U56" s="257">
        <f t="shared" si="9"/>
        <v>0.5</v>
      </c>
      <c r="V56" s="261">
        <v>31.1</v>
      </c>
      <c r="W56" s="267">
        <f t="shared" si="8"/>
        <v>1.4500000000000028</v>
      </c>
    </row>
    <row r="57" spans="1:23" s="251" customFormat="1" ht="33.75">
      <c r="A57" s="252">
        <v>57</v>
      </c>
      <c r="B57" s="264" t="s">
        <v>299</v>
      </c>
      <c r="C57" s="264" t="s">
        <v>300</v>
      </c>
      <c r="D57" s="243">
        <v>26.4028618</v>
      </c>
      <c r="E57" s="243">
        <v>74.453610019999999</v>
      </c>
      <c r="F57" s="243">
        <v>43.2</v>
      </c>
      <c r="G57" s="243"/>
      <c r="H57" s="243"/>
      <c r="I57" s="243"/>
      <c r="J57" s="243"/>
      <c r="K57" s="243"/>
      <c r="L57" s="257"/>
      <c r="M57" s="243"/>
      <c r="N57" s="243"/>
      <c r="O57" s="257"/>
      <c r="P57" s="243"/>
      <c r="Q57" s="243"/>
      <c r="R57" s="257"/>
      <c r="S57" s="243">
        <v>33.299999999999997</v>
      </c>
      <c r="T57" s="243">
        <v>32.299999999999997</v>
      </c>
      <c r="U57" s="257">
        <f t="shared" si="9"/>
        <v>1</v>
      </c>
      <c r="V57" s="261">
        <v>35.119999999999997</v>
      </c>
      <c r="W57" s="267">
        <f t="shared" si="8"/>
        <v>2.8200000000000003</v>
      </c>
    </row>
    <row r="58" spans="1:23" s="251" customFormat="1" ht="11.25">
      <c r="A58" s="252">
        <v>58</v>
      </c>
      <c r="B58" s="264" t="s">
        <v>301</v>
      </c>
      <c r="C58" s="264" t="s">
        <v>302</v>
      </c>
      <c r="D58" s="243">
        <v>26.372949469999998</v>
      </c>
      <c r="E58" s="243">
        <v>74.466378759999998</v>
      </c>
      <c r="F58" s="243">
        <v>25.9</v>
      </c>
      <c r="G58" s="243"/>
      <c r="H58" s="243"/>
      <c r="I58" s="243"/>
      <c r="J58" s="243"/>
      <c r="K58" s="243"/>
      <c r="L58" s="257"/>
      <c r="M58" s="243"/>
      <c r="N58" s="243"/>
      <c r="O58" s="257"/>
      <c r="P58" s="243"/>
      <c r="Q58" s="243"/>
      <c r="R58" s="257"/>
      <c r="S58" s="243">
        <v>17.5</v>
      </c>
      <c r="T58" s="243">
        <v>14.5</v>
      </c>
      <c r="U58" s="257">
        <f t="shared" si="9"/>
        <v>3</v>
      </c>
      <c r="V58" s="261">
        <v>16.420000000000002</v>
      </c>
      <c r="W58" s="267">
        <f t="shared" si="8"/>
        <v>1.9200000000000017</v>
      </c>
    </row>
    <row r="59" spans="1:23" s="251" customFormat="1" ht="22.5">
      <c r="A59" s="252">
        <v>59</v>
      </c>
      <c r="B59" s="264" t="s">
        <v>297</v>
      </c>
      <c r="C59" s="264" t="s">
        <v>303</v>
      </c>
      <c r="D59" s="243">
        <v>26.356392700000001</v>
      </c>
      <c r="E59" s="243">
        <v>74.453899949999993</v>
      </c>
      <c r="F59" s="243">
        <v>37.6</v>
      </c>
      <c r="G59" s="243"/>
      <c r="H59" s="243"/>
      <c r="I59" s="243"/>
      <c r="J59" s="243"/>
      <c r="K59" s="243"/>
      <c r="L59" s="257"/>
      <c r="M59" s="243"/>
      <c r="N59" s="243"/>
      <c r="O59" s="257"/>
      <c r="P59" s="243"/>
      <c r="Q59" s="243"/>
      <c r="R59" s="257"/>
      <c r="S59" s="243">
        <v>31.6</v>
      </c>
      <c r="T59" s="243">
        <v>29.7</v>
      </c>
      <c r="U59" s="257">
        <f t="shared" si="9"/>
        <v>1.9000000000000021</v>
      </c>
      <c r="V59" s="261">
        <v>30.85</v>
      </c>
      <c r="W59" s="267">
        <f t="shared" si="8"/>
        <v>1.1500000000000021</v>
      </c>
    </row>
    <row r="60" spans="1:23" s="251" customFormat="1" ht="33.75">
      <c r="A60" s="252">
        <v>60</v>
      </c>
      <c r="B60" s="264" t="s">
        <v>297</v>
      </c>
      <c r="C60" s="264" t="s">
        <v>304</v>
      </c>
      <c r="D60" s="243">
        <v>26.34467798</v>
      </c>
      <c r="E60" s="243">
        <v>74.458540429999999</v>
      </c>
      <c r="F60" s="243">
        <v>24.5</v>
      </c>
      <c r="G60" s="243"/>
      <c r="H60" s="243"/>
      <c r="I60" s="243"/>
      <c r="J60" s="243"/>
      <c r="K60" s="243"/>
      <c r="L60" s="257"/>
      <c r="M60" s="243"/>
      <c r="N60" s="243"/>
      <c r="O60" s="257"/>
      <c r="P60" s="243"/>
      <c r="Q60" s="243"/>
      <c r="R60" s="257"/>
      <c r="S60" s="243">
        <v>18.100000000000001</v>
      </c>
      <c r="T60" s="243">
        <v>15.45</v>
      </c>
      <c r="U60" s="257">
        <f t="shared" si="9"/>
        <v>2.6500000000000021</v>
      </c>
      <c r="V60" s="261">
        <v>17.850000000000001</v>
      </c>
      <c r="W60" s="267">
        <f t="shared" si="8"/>
        <v>2.4000000000000021</v>
      </c>
    </row>
    <row r="61" spans="1:23" s="251" customFormat="1" ht="22.5">
      <c r="A61" s="252">
        <v>61</v>
      </c>
      <c r="B61" s="264" t="s">
        <v>305</v>
      </c>
      <c r="C61" s="264" t="s">
        <v>306</v>
      </c>
      <c r="D61" s="243">
        <v>26.356258919999998</v>
      </c>
      <c r="E61" s="243">
        <v>74.483014159999996</v>
      </c>
      <c r="F61" s="243">
        <v>30.6</v>
      </c>
      <c r="G61" s="243"/>
      <c r="H61" s="243"/>
      <c r="I61" s="243"/>
      <c r="J61" s="243"/>
      <c r="K61" s="243"/>
      <c r="L61" s="257"/>
      <c r="M61" s="243"/>
      <c r="N61" s="243"/>
      <c r="O61" s="257"/>
      <c r="P61" s="243"/>
      <c r="Q61" s="243"/>
      <c r="R61" s="257"/>
      <c r="S61" s="243">
        <v>25.7</v>
      </c>
      <c r="T61" s="243">
        <v>25.4</v>
      </c>
      <c r="U61" s="257">
        <f t="shared" si="9"/>
        <v>0.30000000000000071</v>
      </c>
      <c r="V61" s="261">
        <v>26.7</v>
      </c>
      <c r="W61" s="267">
        <f t="shared" si="8"/>
        <v>1.3000000000000007</v>
      </c>
    </row>
    <row r="62" spans="1:23" s="251" customFormat="1" ht="33.75">
      <c r="A62" s="252">
        <v>62</v>
      </c>
      <c r="B62" s="264" t="s">
        <v>301</v>
      </c>
      <c r="C62" s="264" t="s">
        <v>307</v>
      </c>
      <c r="D62" s="243">
        <v>26.363757880000001</v>
      </c>
      <c r="E62" s="243">
        <v>74.476922860000002</v>
      </c>
      <c r="F62" s="243">
        <v>36.200000000000003</v>
      </c>
      <c r="G62" s="243"/>
      <c r="H62" s="243"/>
      <c r="I62" s="243"/>
      <c r="J62" s="243"/>
      <c r="K62" s="243"/>
      <c r="L62" s="257"/>
      <c r="M62" s="243"/>
      <c r="N62" s="243"/>
      <c r="O62" s="257"/>
      <c r="P62" s="243"/>
      <c r="Q62" s="243"/>
      <c r="R62" s="257"/>
      <c r="S62" s="243">
        <v>18.5</v>
      </c>
      <c r="T62" s="243">
        <v>10.8</v>
      </c>
      <c r="U62" s="257">
        <f t="shared" si="9"/>
        <v>7.6999999999999993</v>
      </c>
      <c r="V62" s="261">
        <v>12.3</v>
      </c>
      <c r="W62" s="267">
        <f t="shared" si="8"/>
        <v>1.5</v>
      </c>
    </row>
    <row r="63" spans="1:23" s="251" customFormat="1" ht="22.5">
      <c r="A63" s="252">
        <v>63</v>
      </c>
      <c r="B63" s="264" t="s">
        <v>299</v>
      </c>
      <c r="C63" s="264" t="s">
        <v>308</v>
      </c>
      <c r="D63" s="243">
        <v>26.371767040000002</v>
      </c>
      <c r="E63" s="243">
        <v>74.492822329999996</v>
      </c>
      <c r="F63" s="243">
        <v>15.2</v>
      </c>
      <c r="G63" s="243"/>
      <c r="H63" s="243"/>
      <c r="I63" s="243"/>
      <c r="J63" s="243"/>
      <c r="K63" s="243"/>
      <c r="L63" s="257"/>
      <c r="M63" s="243"/>
      <c r="N63" s="243"/>
      <c r="O63" s="257"/>
      <c r="P63" s="243"/>
      <c r="Q63" s="243"/>
      <c r="R63" s="257"/>
      <c r="S63" s="243">
        <v>6.5</v>
      </c>
      <c r="T63" s="243">
        <v>3.8</v>
      </c>
      <c r="U63" s="257">
        <f t="shared" si="9"/>
        <v>2.7</v>
      </c>
      <c r="V63" s="261">
        <v>4.8499999999999996</v>
      </c>
      <c r="W63" s="267">
        <f t="shared" si="8"/>
        <v>1.0499999999999998</v>
      </c>
    </row>
    <row r="64" spans="1:23" s="251" customFormat="1" ht="11.25">
      <c r="A64" s="252">
        <v>64</v>
      </c>
      <c r="B64" s="264" t="s">
        <v>305</v>
      </c>
      <c r="C64" s="264" t="s">
        <v>286</v>
      </c>
      <c r="D64" s="243">
        <v>26.359225110000001</v>
      </c>
      <c r="E64" s="243">
        <v>74.49808256</v>
      </c>
      <c r="F64" s="243">
        <v>28.5</v>
      </c>
      <c r="G64" s="243"/>
      <c r="H64" s="243"/>
      <c r="I64" s="243"/>
      <c r="J64" s="243"/>
      <c r="K64" s="243"/>
      <c r="L64" s="257"/>
      <c r="M64" s="243"/>
      <c r="N64" s="243"/>
      <c r="O64" s="257"/>
      <c r="P64" s="243"/>
      <c r="Q64" s="243"/>
      <c r="R64" s="257"/>
      <c r="S64" s="243">
        <v>17.5</v>
      </c>
      <c r="T64" s="243">
        <v>16.5</v>
      </c>
      <c r="U64" s="257">
        <f t="shared" si="9"/>
        <v>1</v>
      </c>
      <c r="V64" s="261">
        <v>17.23</v>
      </c>
      <c r="W64" s="267">
        <f t="shared" si="8"/>
        <v>0.73000000000000043</v>
      </c>
    </row>
    <row r="65" spans="1:23" s="251" customFormat="1" ht="22.5">
      <c r="A65" s="252">
        <v>65</v>
      </c>
      <c r="B65" s="264" t="s">
        <v>309</v>
      </c>
      <c r="C65" s="264" t="s">
        <v>310</v>
      </c>
      <c r="D65" s="243">
        <v>26.34576998</v>
      </c>
      <c r="E65" s="243">
        <v>74.49706424</v>
      </c>
      <c r="F65" s="243">
        <v>27.8</v>
      </c>
      <c r="G65" s="243"/>
      <c r="H65" s="243"/>
      <c r="I65" s="243"/>
      <c r="J65" s="243"/>
      <c r="K65" s="243"/>
      <c r="L65" s="257"/>
      <c r="M65" s="243"/>
      <c r="N65" s="243"/>
      <c r="O65" s="257"/>
      <c r="P65" s="243"/>
      <c r="Q65" s="243"/>
      <c r="R65" s="257"/>
      <c r="S65" s="243">
        <v>24.95</v>
      </c>
      <c r="T65" s="243">
        <v>24.5</v>
      </c>
      <c r="U65" s="257">
        <f t="shared" si="9"/>
        <v>0.44999999999999929</v>
      </c>
      <c r="V65" s="261">
        <v>25.1</v>
      </c>
      <c r="W65" s="267">
        <f t="shared" si="8"/>
        <v>0.60000000000000142</v>
      </c>
    </row>
    <row r="66" spans="1:23" s="251" customFormat="1" ht="33.75">
      <c r="A66" s="252">
        <v>66</v>
      </c>
      <c r="B66" s="264" t="s">
        <v>309</v>
      </c>
      <c r="C66" s="264" t="s">
        <v>311</v>
      </c>
      <c r="D66" s="243">
        <v>26.34527452</v>
      </c>
      <c r="E66" s="243">
        <v>74.513695190000007</v>
      </c>
      <c r="F66" s="243">
        <v>44.85</v>
      </c>
      <c r="G66" s="243"/>
      <c r="H66" s="243"/>
      <c r="I66" s="243"/>
      <c r="J66" s="243"/>
      <c r="K66" s="243"/>
      <c r="L66" s="257"/>
      <c r="M66" s="243"/>
      <c r="N66" s="243"/>
      <c r="O66" s="257"/>
      <c r="P66" s="243"/>
      <c r="Q66" s="243"/>
      <c r="R66" s="257"/>
      <c r="S66" s="243">
        <v>33</v>
      </c>
      <c r="T66" s="243">
        <v>32.6</v>
      </c>
      <c r="U66" s="257">
        <f t="shared" si="9"/>
        <v>0.39999999999999858</v>
      </c>
      <c r="V66" s="261">
        <v>34.299999999999997</v>
      </c>
      <c r="W66" s="267">
        <f t="shared" si="8"/>
        <v>1.6999999999999957</v>
      </c>
    </row>
    <row r="67" spans="1:23" s="251" customFormat="1" ht="22.5">
      <c r="A67" s="252">
        <v>67</v>
      </c>
      <c r="B67" s="264" t="s">
        <v>312</v>
      </c>
      <c r="C67" s="264" t="s">
        <v>313</v>
      </c>
      <c r="D67" s="243">
        <v>26.497319229999999</v>
      </c>
      <c r="E67" s="243">
        <v>74.531686530000002</v>
      </c>
      <c r="F67" s="243">
        <v>40.75</v>
      </c>
      <c r="G67" s="243"/>
      <c r="H67" s="243"/>
      <c r="I67" s="243"/>
      <c r="J67" s="243"/>
      <c r="K67" s="243"/>
      <c r="L67" s="257"/>
      <c r="M67" s="243"/>
      <c r="N67" s="243"/>
      <c r="O67" s="257"/>
      <c r="P67" s="243"/>
      <c r="Q67" s="243"/>
      <c r="R67" s="257"/>
      <c r="S67" s="243">
        <v>37.15</v>
      </c>
      <c r="T67" s="243">
        <v>36.65</v>
      </c>
      <c r="U67" s="257">
        <f t="shared" si="9"/>
        <v>0.5</v>
      </c>
      <c r="V67" s="261">
        <v>38.75</v>
      </c>
      <c r="W67" s="267">
        <f t="shared" si="8"/>
        <v>2.1000000000000014</v>
      </c>
    </row>
    <row r="68" spans="1:23" s="251" customFormat="1" ht="33.75">
      <c r="A68" s="252">
        <v>68</v>
      </c>
      <c r="B68" s="264" t="s">
        <v>299</v>
      </c>
      <c r="C68" s="264" t="s">
        <v>314</v>
      </c>
      <c r="D68" s="243">
        <v>26.38844971</v>
      </c>
      <c r="E68" s="243">
        <v>74.526083479999997</v>
      </c>
      <c r="F68" s="243">
        <v>27.7</v>
      </c>
      <c r="G68" s="243"/>
      <c r="H68" s="243"/>
      <c r="I68" s="243"/>
      <c r="J68" s="243"/>
      <c r="K68" s="243"/>
      <c r="L68" s="257"/>
      <c r="M68" s="243"/>
      <c r="N68" s="243"/>
      <c r="O68" s="257"/>
      <c r="P68" s="243"/>
      <c r="Q68" s="243"/>
      <c r="R68" s="257"/>
      <c r="S68" s="243">
        <v>25.1</v>
      </c>
      <c r="T68" s="243">
        <v>21.6</v>
      </c>
      <c r="U68" s="257">
        <f t="shared" si="9"/>
        <v>3.5</v>
      </c>
      <c r="V68" s="261">
        <v>22.38</v>
      </c>
      <c r="W68" s="267">
        <f t="shared" si="8"/>
        <v>0.77999999999999758</v>
      </c>
    </row>
    <row r="69" spans="1:23" s="251" customFormat="1" ht="22.5">
      <c r="A69" s="252">
        <v>70</v>
      </c>
      <c r="B69" s="264" t="s">
        <v>315</v>
      </c>
      <c r="C69" s="264" t="s">
        <v>316</v>
      </c>
      <c r="D69" s="243">
        <v>26.517545349999999</v>
      </c>
      <c r="E69" s="243">
        <v>74.519507959999999</v>
      </c>
      <c r="F69" s="243">
        <v>26.4</v>
      </c>
      <c r="G69" s="243"/>
      <c r="H69" s="243"/>
      <c r="I69" s="243"/>
      <c r="J69" s="243"/>
      <c r="K69" s="243"/>
      <c r="L69" s="257"/>
      <c r="M69" s="243"/>
      <c r="N69" s="243"/>
      <c r="O69" s="257"/>
      <c r="P69" s="243"/>
      <c r="Q69" s="243"/>
      <c r="R69" s="257"/>
      <c r="S69" s="243">
        <v>25.15</v>
      </c>
      <c r="T69" s="243">
        <v>21.9</v>
      </c>
      <c r="U69" s="257">
        <f t="shared" si="9"/>
        <v>3.25</v>
      </c>
      <c r="V69" s="261">
        <v>22.4</v>
      </c>
      <c r="W69" s="267">
        <f t="shared" si="8"/>
        <v>0.5</v>
      </c>
    </row>
    <row r="70" spans="1:23" s="251" customFormat="1" ht="33.75">
      <c r="A70" s="252">
        <v>71</v>
      </c>
      <c r="B70" s="264" t="s">
        <v>207</v>
      </c>
      <c r="C70" s="264" t="s">
        <v>317</v>
      </c>
      <c r="D70" s="243">
        <v>26.390216110000001</v>
      </c>
      <c r="E70" s="243">
        <v>74.540633790000001</v>
      </c>
      <c r="F70" s="243">
        <v>34.950000000000003</v>
      </c>
      <c r="G70" s="243"/>
      <c r="H70" s="243"/>
      <c r="I70" s="243"/>
      <c r="J70" s="243"/>
      <c r="K70" s="243"/>
      <c r="L70" s="257"/>
      <c r="M70" s="243"/>
      <c r="N70" s="243"/>
      <c r="O70" s="257"/>
      <c r="P70" s="243"/>
      <c r="Q70" s="243"/>
      <c r="R70" s="257"/>
      <c r="S70" s="243">
        <v>24.4</v>
      </c>
      <c r="T70" s="243">
        <v>22.8</v>
      </c>
      <c r="U70" s="257">
        <f t="shared" si="9"/>
        <v>1.5999999999999979</v>
      </c>
      <c r="V70" s="261">
        <v>23.75</v>
      </c>
      <c r="W70" s="267">
        <f t="shared" si="8"/>
        <v>0.94999999999999929</v>
      </c>
    </row>
    <row r="71" spans="1:23" s="251" customFormat="1" ht="33.75">
      <c r="A71" s="252">
        <v>72</v>
      </c>
      <c r="B71" s="264" t="s">
        <v>318</v>
      </c>
      <c r="C71" s="264" t="s">
        <v>319</v>
      </c>
      <c r="D71" s="243">
        <v>26.537547419999999</v>
      </c>
      <c r="E71" s="243">
        <v>74.542618379999993</v>
      </c>
      <c r="F71" s="243">
        <v>35.950000000000003</v>
      </c>
      <c r="G71" s="243"/>
      <c r="H71" s="243"/>
      <c r="I71" s="243"/>
      <c r="J71" s="243"/>
      <c r="K71" s="243"/>
      <c r="L71" s="257"/>
      <c r="M71" s="243"/>
      <c r="N71" s="243"/>
      <c r="O71" s="257"/>
      <c r="P71" s="243"/>
      <c r="Q71" s="243"/>
      <c r="R71" s="257"/>
      <c r="S71" s="243">
        <v>32.85</v>
      </c>
      <c r="T71" s="243">
        <v>31.8</v>
      </c>
      <c r="U71" s="257">
        <f t="shared" si="9"/>
        <v>1.0500000000000007</v>
      </c>
      <c r="V71" s="261">
        <v>32.799999999999997</v>
      </c>
      <c r="W71" s="267">
        <f t="shared" si="8"/>
        <v>0.99999999999999645</v>
      </c>
    </row>
    <row r="72" spans="1:23" s="251" customFormat="1" ht="11.25">
      <c r="A72" s="252">
        <v>73</v>
      </c>
      <c r="B72" s="264" t="s">
        <v>320</v>
      </c>
      <c r="C72" s="264" t="s">
        <v>321</v>
      </c>
      <c r="D72" s="243">
        <v>26.523359370000001</v>
      </c>
      <c r="E72" s="243">
        <v>74.54808002</v>
      </c>
      <c r="F72" s="243">
        <v>34.049999999999997</v>
      </c>
      <c r="G72" s="243"/>
      <c r="H72" s="243"/>
      <c r="I72" s="243"/>
      <c r="J72" s="243"/>
      <c r="K72" s="243"/>
      <c r="L72" s="257"/>
      <c r="M72" s="243"/>
      <c r="N72" s="243"/>
      <c r="O72" s="257"/>
      <c r="P72" s="243"/>
      <c r="Q72" s="243"/>
      <c r="R72" s="257"/>
      <c r="S72" s="243">
        <v>32.25</v>
      </c>
      <c r="T72" s="243">
        <v>31.7</v>
      </c>
      <c r="U72" s="257">
        <f t="shared" si="9"/>
        <v>0.55000000000000071</v>
      </c>
      <c r="V72" s="261">
        <v>31.92</v>
      </c>
      <c r="W72" s="267">
        <f t="shared" si="8"/>
        <v>0.22000000000000242</v>
      </c>
    </row>
    <row r="73" spans="1:23" s="251" customFormat="1" ht="22.5">
      <c r="A73" s="252">
        <v>74</v>
      </c>
      <c r="B73" s="264" t="s">
        <v>322</v>
      </c>
      <c r="C73" s="264" t="s">
        <v>323</v>
      </c>
      <c r="D73" s="243">
        <v>26.48502457</v>
      </c>
      <c r="E73" s="243">
        <v>74.564540399999998</v>
      </c>
      <c r="F73" s="243">
        <v>32.4</v>
      </c>
      <c r="G73" s="243">
        <v>29</v>
      </c>
      <c r="H73" s="243">
        <v>28.75</v>
      </c>
      <c r="I73" s="243">
        <v>0.25</v>
      </c>
      <c r="J73" s="243">
        <v>28.79</v>
      </c>
      <c r="K73" s="243">
        <v>27.78</v>
      </c>
      <c r="L73" s="257">
        <f>J73-K73</f>
        <v>1.009999999999998</v>
      </c>
      <c r="M73" s="243">
        <v>29.36</v>
      </c>
      <c r="N73" s="243">
        <v>28.1</v>
      </c>
      <c r="O73" s="257">
        <f>M73-N73</f>
        <v>1.259999999999998</v>
      </c>
      <c r="P73" s="243">
        <v>29.36</v>
      </c>
      <c r="Q73" s="243">
        <v>29.1</v>
      </c>
      <c r="R73" s="257">
        <f>P73-Q73</f>
        <v>0.25999999999999801</v>
      </c>
      <c r="S73" s="243">
        <v>28.8</v>
      </c>
      <c r="T73" s="243">
        <v>25.95</v>
      </c>
      <c r="U73" s="257">
        <f t="shared" si="9"/>
        <v>2.8500000000000014</v>
      </c>
      <c r="V73" s="261">
        <v>27.8</v>
      </c>
      <c r="W73" s="267">
        <f t="shared" si="8"/>
        <v>1.8500000000000014</v>
      </c>
    </row>
    <row r="74" spans="1:23" s="251" customFormat="1" ht="22.5">
      <c r="A74" s="252">
        <v>75</v>
      </c>
      <c r="B74" s="264" t="s">
        <v>322</v>
      </c>
      <c r="C74" s="264" t="s">
        <v>324</v>
      </c>
      <c r="D74" s="243">
        <v>26.473816620000001</v>
      </c>
      <c r="E74" s="243">
        <v>74.557847620000004</v>
      </c>
      <c r="F74" s="243">
        <v>39.9</v>
      </c>
      <c r="G74" s="243"/>
      <c r="H74" s="243"/>
      <c r="I74" s="243"/>
      <c r="J74" s="243"/>
      <c r="K74" s="243"/>
      <c r="L74" s="257"/>
      <c r="M74" s="243"/>
      <c r="N74" s="243"/>
      <c r="O74" s="257"/>
      <c r="P74" s="243"/>
      <c r="Q74" s="243"/>
      <c r="R74" s="257"/>
      <c r="S74" s="243">
        <v>37.049999999999997</v>
      </c>
      <c r="T74" s="243">
        <v>36.5</v>
      </c>
      <c r="U74" s="257">
        <f t="shared" si="9"/>
        <v>0.54999999999999716</v>
      </c>
      <c r="V74" s="261">
        <v>39.5</v>
      </c>
      <c r="W74" s="267">
        <f t="shared" si="8"/>
        <v>3</v>
      </c>
    </row>
    <row r="75" spans="1:23" s="251" customFormat="1" ht="22.5">
      <c r="A75" s="252">
        <v>76</v>
      </c>
      <c r="B75" s="264" t="s">
        <v>325</v>
      </c>
      <c r="C75" s="264" t="s">
        <v>326</v>
      </c>
      <c r="D75" s="243">
        <v>26.342567169999999</v>
      </c>
      <c r="E75" s="243">
        <v>74.561518980000002</v>
      </c>
      <c r="F75" s="243">
        <v>26.4</v>
      </c>
      <c r="G75" s="243"/>
      <c r="H75" s="243"/>
      <c r="I75" s="243"/>
      <c r="J75" s="243"/>
      <c r="K75" s="243"/>
      <c r="L75" s="257"/>
      <c r="M75" s="243"/>
      <c r="N75" s="243"/>
      <c r="O75" s="257"/>
      <c r="P75" s="243"/>
      <c r="Q75" s="243"/>
      <c r="R75" s="257"/>
      <c r="S75" s="243">
        <v>18.649999999999999</v>
      </c>
      <c r="T75" s="243">
        <v>17.7</v>
      </c>
      <c r="U75" s="257">
        <f t="shared" si="9"/>
        <v>0.94999999999999929</v>
      </c>
      <c r="V75" s="261">
        <v>17.899999999999999</v>
      </c>
      <c r="W75" s="267">
        <f t="shared" si="8"/>
        <v>0.19999999999999929</v>
      </c>
    </row>
    <row r="76" spans="1:23" s="251" customFormat="1" ht="22.5">
      <c r="A76" s="252">
        <v>77</v>
      </c>
      <c r="B76" s="264" t="s">
        <v>327</v>
      </c>
      <c r="C76" s="264" t="s">
        <v>328</v>
      </c>
      <c r="D76" s="243">
        <v>26.542845870000001</v>
      </c>
      <c r="E76" s="243">
        <v>74.565921160000002</v>
      </c>
      <c r="F76" s="243">
        <v>37.35</v>
      </c>
      <c r="G76" s="243"/>
      <c r="H76" s="243"/>
      <c r="I76" s="243"/>
      <c r="J76" s="243"/>
      <c r="K76" s="243"/>
      <c r="L76" s="257"/>
      <c r="M76" s="243"/>
      <c r="N76" s="243"/>
      <c r="O76" s="257"/>
      <c r="P76" s="243"/>
      <c r="Q76" s="243"/>
      <c r="R76" s="257"/>
      <c r="S76" s="243">
        <v>35.200000000000003</v>
      </c>
      <c r="T76" s="243">
        <v>35.1</v>
      </c>
      <c r="U76" s="257">
        <f t="shared" si="9"/>
        <v>0.10000000000000142</v>
      </c>
      <c r="V76" s="261">
        <v>35.700000000000003</v>
      </c>
      <c r="W76" s="267">
        <f t="shared" si="8"/>
        <v>0.60000000000000142</v>
      </c>
    </row>
    <row r="77" spans="1:23" s="251" customFormat="1" ht="11.25">
      <c r="A77" s="252">
        <v>78</v>
      </c>
      <c r="B77" s="264" t="s">
        <v>322</v>
      </c>
      <c r="C77" s="264" t="s">
        <v>329</v>
      </c>
      <c r="D77" s="243">
        <v>26.481475669999998</v>
      </c>
      <c r="E77" s="243">
        <v>74.567531819999999</v>
      </c>
      <c r="F77" s="243">
        <v>21.35</v>
      </c>
      <c r="G77" s="243"/>
      <c r="H77" s="243"/>
      <c r="I77" s="243"/>
      <c r="J77" s="243"/>
      <c r="K77" s="243"/>
      <c r="L77" s="257"/>
      <c r="M77" s="243"/>
      <c r="N77" s="243"/>
      <c r="O77" s="257"/>
      <c r="P77" s="243"/>
      <c r="Q77" s="243"/>
      <c r="R77" s="257"/>
      <c r="S77" s="243">
        <v>18.75</v>
      </c>
      <c r="T77" s="243">
        <v>18.3</v>
      </c>
      <c r="U77" s="257">
        <f t="shared" ref="U77:U88" si="10">S77-T77</f>
        <v>0.44999999999999929</v>
      </c>
      <c r="V77" s="261">
        <v>19.3</v>
      </c>
      <c r="W77" s="267">
        <f t="shared" si="8"/>
        <v>1</v>
      </c>
    </row>
    <row r="78" spans="1:23" s="251" customFormat="1" ht="11.25">
      <c r="A78" s="252">
        <v>79</v>
      </c>
      <c r="B78" s="264" t="s">
        <v>330</v>
      </c>
      <c r="C78" s="264" t="s">
        <v>331</v>
      </c>
      <c r="D78" s="243">
        <v>26.3650248</v>
      </c>
      <c r="E78" s="243">
        <v>74.575267150000002</v>
      </c>
      <c r="F78" s="243">
        <v>24</v>
      </c>
      <c r="G78" s="243"/>
      <c r="H78" s="243"/>
      <c r="I78" s="243"/>
      <c r="J78" s="243"/>
      <c r="K78" s="243"/>
      <c r="L78" s="257"/>
      <c r="M78" s="243"/>
      <c r="N78" s="243"/>
      <c r="O78" s="257"/>
      <c r="P78" s="243"/>
      <c r="Q78" s="243"/>
      <c r="R78" s="257"/>
      <c r="S78" s="243">
        <v>5.7</v>
      </c>
      <c r="T78" s="243">
        <v>3.1</v>
      </c>
      <c r="U78" s="257">
        <f t="shared" si="10"/>
        <v>2.6</v>
      </c>
      <c r="V78" s="261">
        <v>4.8</v>
      </c>
      <c r="W78" s="267">
        <f t="shared" si="8"/>
        <v>1.6999999999999997</v>
      </c>
    </row>
    <row r="79" spans="1:23" s="251" customFormat="1" ht="45">
      <c r="A79" s="252">
        <v>80</v>
      </c>
      <c r="B79" s="264" t="s">
        <v>325</v>
      </c>
      <c r="C79" s="264" t="s">
        <v>332</v>
      </c>
      <c r="D79" s="243">
        <v>26.358841810000001</v>
      </c>
      <c r="E79" s="243">
        <v>74.577145610000002</v>
      </c>
      <c r="F79" s="243">
        <v>8.35</v>
      </c>
      <c r="G79" s="243"/>
      <c r="H79" s="243"/>
      <c r="I79" s="243"/>
      <c r="J79" s="243"/>
      <c r="K79" s="243"/>
      <c r="L79" s="257"/>
      <c r="M79" s="243"/>
      <c r="N79" s="243"/>
      <c r="O79" s="257"/>
      <c r="P79" s="243"/>
      <c r="Q79" s="243"/>
      <c r="R79" s="257"/>
      <c r="S79" s="243">
        <v>4.2</v>
      </c>
      <c r="T79" s="243">
        <v>3.5</v>
      </c>
      <c r="U79" s="257">
        <f t="shared" si="10"/>
        <v>0.70000000000000018</v>
      </c>
      <c r="V79" s="261">
        <v>3.6</v>
      </c>
      <c r="W79" s="267">
        <f t="shared" si="8"/>
        <v>0.10000000000000009</v>
      </c>
    </row>
    <row r="80" spans="1:23" s="251" customFormat="1" ht="22.5">
      <c r="A80" s="252">
        <v>81</v>
      </c>
      <c r="B80" s="264" t="s">
        <v>325</v>
      </c>
      <c r="C80" s="264" t="s">
        <v>333</v>
      </c>
      <c r="D80" s="243">
        <v>26.344990630000002</v>
      </c>
      <c r="E80" s="243">
        <v>74.578518149999994</v>
      </c>
      <c r="F80" s="243">
        <v>17.399999999999999</v>
      </c>
      <c r="G80" s="243"/>
      <c r="H80" s="243"/>
      <c r="I80" s="243"/>
      <c r="J80" s="243"/>
      <c r="K80" s="243"/>
      <c r="L80" s="257"/>
      <c r="M80" s="243"/>
      <c r="N80" s="243"/>
      <c r="O80" s="257"/>
      <c r="P80" s="243"/>
      <c r="Q80" s="243"/>
      <c r="R80" s="257"/>
      <c r="S80" s="243">
        <v>13.3</v>
      </c>
      <c r="T80" s="243">
        <v>12.1</v>
      </c>
      <c r="U80" s="257">
        <f t="shared" si="10"/>
        <v>1.2000000000000011</v>
      </c>
      <c r="V80" s="261">
        <v>13.2</v>
      </c>
      <c r="W80" s="267">
        <f t="shared" si="8"/>
        <v>1.0999999999999996</v>
      </c>
    </row>
    <row r="81" spans="1:23" s="251" customFormat="1" ht="33.75">
      <c r="A81" s="252">
        <v>82</v>
      </c>
      <c r="B81" s="264" t="s">
        <v>334</v>
      </c>
      <c r="C81" s="264" t="s">
        <v>335</v>
      </c>
      <c r="D81" s="243">
        <v>26.5723749</v>
      </c>
      <c r="E81" s="243">
        <v>74.570901180000007</v>
      </c>
      <c r="F81" s="243">
        <v>28.3</v>
      </c>
      <c r="G81" s="243"/>
      <c r="H81" s="243"/>
      <c r="I81" s="243"/>
      <c r="J81" s="243"/>
      <c r="K81" s="243"/>
      <c r="L81" s="257"/>
      <c r="M81" s="243"/>
      <c r="N81" s="243"/>
      <c r="O81" s="257"/>
      <c r="P81" s="243"/>
      <c r="Q81" s="243"/>
      <c r="R81" s="257"/>
      <c r="S81" s="243">
        <v>27.2</v>
      </c>
      <c r="T81" s="243">
        <v>24</v>
      </c>
      <c r="U81" s="257">
        <f t="shared" si="10"/>
        <v>3.1999999999999993</v>
      </c>
      <c r="V81" s="261">
        <v>26.9</v>
      </c>
      <c r="W81" s="267">
        <f t="shared" si="8"/>
        <v>2.8999999999999986</v>
      </c>
    </row>
    <row r="82" spans="1:23" s="251" customFormat="1" ht="33.75">
      <c r="A82" s="252">
        <v>83</v>
      </c>
      <c r="B82" s="264" t="s">
        <v>336</v>
      </c>
      <c r="C82" s="264" t="s">
        <v>337</v>
      </c>
      <c r="D82" s="243">
        <v>26.537563429999999</v>
      </c>
      <c r="E82" s="243">
        <v>74.573416089999995</v>
      </c>
      <c r="F82" s="243">
        <v>28.4</v>
      </c>
      <c r="G82" s="243"/>
      <c r="H82" s="243"/>
      <c r="I82" s="243"/>
      <c r="J82" s="243"/>
      <c r="K82" s="243"/>
      <c r="L82" s="257"/>
      <c r="M82" s="243"/>
      <c r="N82" s="243"/>
      <c r="O82" s="257"/>
      <c r="P82" s="243"/>
      <c r="Q82" s="243"/>
      <c r="R82" s="257"/>
      <c r="S82" s="243">
        <v>27.7</v>
      </c>
      <c r="T82" s="243">
        <v>27</v>
      </c>
      <c r="U82" s="257">
        <f t="shared" si="10"/>
        <v>0.69999999999999929</v>
      </c>
      <c r="V82" s="261">
        <v>27.4</v>
      </c>
      <c r="W82" s="267">
        <f t="shared" si="8"/>
        <v>0.39999999999999858</v>
      </c>
    </row>
    <row r="83" spans="1:23" s="251" customFormat="1" ht="22.5">
      <c r="A83" s="252">
        <v>84</v>
      </c>
      <c r="B83" s="264" t="s">
        <v>338</v>
      </c>
      <c r="C83" s="264" t="s">
        <v>339</v>
      </c>
      <c r="D83" s="243">
        <v>26.546213049999999</v>
      </c>
      <c r="E83" s="243">
        <v>74.571842219999994</v>
      </c>
      <c r="F83" s="243">
        <v>40.15</v>
      </c>
      <c r="G83" s="243"/>
      <c r="H83" s="243"/>
      <c r="I83" s="243"/>
      <c r="J83" s="243"/>
      <c r="K83" s="243"/>
      <c r="L83" s="257"/>
      <c r="M83" s="243"/>
      <c r="N83" s="243"/>
      <c r="O83" s="257"/>
      <c r="P83" s="243"/>
      <c r="Q83" s="243"/>
      <c r="R83" s="257"/>
      <c r="S83" s="243">
        <v>37.65</v>
      </c>
      <c r="T83" s="243">
        <v>36.4</v>
      </c>
      <c r="U83" s="257">
        <f t="shared" si="10"/>
        <v>1.25</v>
      </c>
      <c r="V83" s="261">
        <v>37.9</v>
      </c>
      <c r="W83" s="267">
        <f t="shared" si="8"/>
        <v>1.5</v>
      </c>
    </row>
    <row r="84" spans="1:23" s="251" customFormat="1" ht="22.5">
      <c r="A84" s="252">
        <v>85</v>
      </c>
      <c r="B84" s="264" t="s">
        <v>325</v>
      </c>
      <c r="C84" s="264" t="s">
        <v>340</v>
      </c>
      <c r="D84" s="243">
        <v>26.326345</v>
      </c>
      <c r="E84" s="243">
        <v>74.588083330000003</v>
      </c>
      <c r="F84" s="243">
        <v>32.299999999999997</v>
      </c>
      <c r="G84" s="243"/>
      <c r="H84" s="243"/>
      <c r="I84" s="243"/>
      <c r="J84" s="243"/>
      <c r="K84" s="243"/>
      <c r="L84" s="257"/>
      <c r="M84" s="243"/>
      <c r="N84" s="243"/>
      <c r="O84" s="257"/>
      <c r="P84" s="243"/>
      <c r="Q84" s="243"/>
      <c r="R84" s="257"/>
      <c r="S84" s="243">
        <v>29</v>
      </c>
      <c r="T84" s="243">
        <v>28.5</v>
      </c>
      <c r="U84" s="257">
        <f t="shared" si="10"/>
        <v>0.5</v>
      </c>
      <c r="V84" s="261">
        <v>29.3</v>
      </c>
      <c r="W84" s="267">
        <f t="shared" si="8"/>
        <v>0.80000000000000071</v>
      </c>
    </row>
    <row r="85" spans="1:23" s="251" customFormat="1" ht="22.5">
      <c r="A85" s="252">
        <v>86</v>
      </c>
      <c r="B85" s="264" t="s">
        <v>341</v>
      </c>
      <c r="C85" s="264" t="s">
        <v>342</v>
      </c>
      <c r="D85" s="243">
        <v>26.594714849999999</v>
      </c>
      <c r="E85" s="243">
        <v>74.592615589999994</v>
      </c>
      <c r="F85" s="243">
        <v>35.5</v>
      </c>
      <c r="G85" s="243">
        <v>32.369999999999997</v>
      </c>
      <c r="H85" s="243">
        <v>31.35</v>
      </c>
      <c r="I85" s="241">
        <f>G85-H85</f>
        <v>1.019999999999996</v>
      </c>
      <c r="J85" s="243">
        <v>32.450000000000003</v>
      </c>
      <c r="K85" s="243">
        <v>31.9</v>
      </c>
      <c r="L85" s="257">
        <f>J85-K85</f>
        <v>0.55000000000000426</v>
      </c>
      <c r="M85" s="243">
        <v>32.799999999999997</v>
      </c>
      <c r="N85" s="243">
        <v>31.15</v>
      </c>
      <c r="O85" s="257">
        <f>M85-N85</f>
        <v>1.6499999999999986</v>
      </c>
      <c r="P85" s="243">
        <v>34.950000000000003</v>
      </c>
      <c r="Q85" s="243">
        <v>33.1</v>
      </c>
      <c r="R85" s="257">
        <f>P85-Q85</f>
        <v>1.8500000000000014</v>
      </c>
      <c r="S85" s="243">
        <v>34.1</v>
      </c>
      <c r="T85" s="243">
        <v>32.4</v>
      </c>
      <c r="U85" s="257">
        <f t="shared" si="10"/>
        <v>1.7000000000000028</v>
      </c>
      <c r="V85" s="261">
        <v>33.9</v>
      </c>
      <c r="W85" s="267">
        <f t="shared" si="8"/>
        <v>1.5</v>
      </c>
    </row>
    <row r="86" spans="1:23" s="251" customFormat="1" ht="33.75">
      <c r="A86" s="252">
        <v>87</v>
      </c>
      <c r="B86" s="264" t="s">
        <v>343</v>
      </c>
      <c r="C86" s="264" t="s">
        <v>344</v>
      </c>
      <c r="D86" s="243">
        <v>26.570952399999999</v>
      </c>
      <c r="E86" s="243">
        <v>74.596910730000005</v>
      </c>
      <c r="F86" s="243">
        <v>33.4</v>
      </c>
      <c r="G86" s="243"/>
      <c r="H86" s="243"/>
      <c r="I86" s="243"/>
      <c r="J86" s="243"/>
      <c r="K86" s="243"/>
      <c r="L86" s="257"/>
      <c r="M86" s="243"/>
      <c r="N86" s="243"/>
      <c r="O86" s="257"/>
      <c r="P86" s="243"/>
      <c r="Q86" s="243"/>
      <c r="R86" s="257"/>
      <c r="S86" s="243">
        <v>32.299999999999997</v>
      </c>
      <c r="T86" s="243">
        <v>31.25</v>
      </c>
      <c r="U86" s="257">
        <f t="shared" si="10"/>
        <v>1.0499999999999972</v>
      </c>
      <c r="V86" s="261">
        <v>32.1</v>
      </c>
      <c r="W86" s="267">
        <f t="shared" si="8"/>
        <v>0.85000000000000142</v>
      </c>
    </row>
    <row r="87" spans="1:23" s="251" customFormat="1" ht="33.75">
      <c r="A87" s="252">
        <v>88</v>
      </c>
      <c r="B87" s="264" t="s">
        <v>345</v>
      </c>
      <c r="C87" s="264" t="s">
        <v>346</v>
      </c>
      <c r="D87" s="243">
        <v>26.594904280000002</v>
      </c>
      <c r="E87" s="243">
        <v>74.599764100000002</v>
      </c>
      <c r="F87" s="243">
        <v>36.799999999999997</v>
      </c>
      <c r="G87" s="243">
        <v>32.450000000000003</v>
      </c>
      <c r="H87" s="243">
        <v>31.1</v>
      </c>
      <c r="I87" s="243">
        <v>1.3500000000000014</v>
      </c>
      <c r="J87" s="243">
        <v>30.7</v>
      </c>
      <c r="K87" s="243">
        <v>29.5</v>
      </c>
      <c r="L87" s="257">
        <f>J87-K87</f>
        <v>1.1999999999999993</v>
      </c>
      <c r="M87" s="243">
        <v>32.700000000000003</v>
      </c>
      <c r="N87" s="243">
        <v>29.35</v>
      </c>
      <c r="O87" s="257">
        <f>M87-N87</f>
        <v>3.3500000000000014</v>
      </c>
      <c r="P87" s="243">
        <v>32.700000000000003</v>
      </c>
      <c r="Q87" s="243">
        <v>29.35</v>
      </c>
      <c r="R87" s="257">
        <f>P87-Q87</f>
        <v>3.3500000000000014</v>
      </c>
      <c r="S87" s="243">
        <v>28.5</v>
      </c>
      <c r="T87" s="243">
        <v>26.6</v>
      </c>
      <c r="U87" s="257">
        <f t="shared" si="10"/>
        <v>1.8999999999999986</v>
      </c>
      <c r="V87" s="261">
        <v>27.2</v>
      </c>
      <c r="W87" s="267">
        <f t="shared" si="8"/>
        <v>0.59999999999999787</v>
      </c>
    </row>
    <row r="88" spans="1:23" s="362" customFormat="1" ht="12.75">
      <c r="A88" s="359"/>
      <c r="B88" s="89"/>
      <c r="C88" s="89"/>
      <c r="D88" s="359"/>
      <c r="E88" s="359"/>
      <c r="F88" s="359"/>
      <c r="G88" s="360">
        <f>AVERAGE(G4:G87)</f>
        <v>23.085882352941177</v>
      </c>
      <c r="H88" s="360">
        <f>AVERAGE(H4:H87)</f>
        <v>20.635294117647064</v>
      </c>
      <c r="I88" s="361">
        <f>G88-H88</f>
        <v>2.4505882352941128</v>
      </c>
      <c r="J88" s="360">
        <f>AVERAGE(J4:J87)</f>
        <v>23.82</v>
      </c>
      <c r="K88" s="360">
        <f>AVERAGE(K4:K87)</f>
        <v>23.635882352941174</v>
      </c>
      <c r="L88" s="361">
        <f>J88-K88</f>
        <v>0.18411764705882661</v>
      </c>
      <c r="M88" s="360">
        <f>AVERAGE(M4:M87)</f>
        <v>25.242352941176467</v>
      </c>
      <c r="N88" s="360">
        <f>AVERAGE(N4:N87)</f>
        <v>23.617647058823533</v>
      </c>
      <c r="O88" s="361">
        <f>M88-N88</f>
        <v>1.6247058823529343</v>
      </c>
      <c r="P88" s="360">
        <f>AVERAGE(P4:P87)</f>
        <v>21.815555555555562</v>
      </c>
      <c r="Q88" s="360">
        <f>AVERAGE(Q4:Q87)</f>
        <v>21.183055555555558</v>
      </c>
      <c r="R88" s="361">
        <f>P88-Q88</f>
        <v>0.63250000000000384</v>
      </c>
      <c r="S88" s="360">
        <f>AVERAGE(S4:S87)</f>
        <v>22.15</v>
      </c>
      <c r="T88" s="360">
        <f>AVERAGE(T4:T87)</f>
        <v>20.2</v>
      </c>
      <c r="U88" s="361">
        <f t="shared" si="10"/>
        <v>1.9499999999999993</v>
      </c>
      <c r="V88" s="360">
        <f>AVERAGE(V4:V87)</f>
        <v>21.571866666666676</v>
      </c>
      <c r="W88" s="360">
        <f>V88-T88</f>
        <v>1.3718666666666763</v>
      </c>
    </row>
    <row r="90" spans="1:23">
      <c r="V90" s="239"/>
    </row>
  </sheetData>
  <autoFilter ref="A3:W88"/>
  <mergeCells count="11">
    <mergeCell ref="A1:U1"/>
    <mergeCell ref="A2:A3"/>
    <mergeCell ref="P2:R2"/>
    <mergeCell ref="S2:U2"/>
    <mergeCell ref="F2:F3"/>
    <mergeCell ref="G2:I2"/>
    <mergeCell ref="B2:B3"/>
    <mergeCell ref="C2:C3"/>
    <mergeCell ref="D2:E2"/>
    <mergeCell ref="J2:L2"/>
    <mergeCell ref="M2:O2"/>
  </mergeCells>
  <pageMargins left="1" right="0.25" top="0.5" bottom="0.75" header="0.511811023622047" footer="0.511811023622047"/>
  <pageSetup paperSize="9" scale="75" orientation="landscape" r:id="rId1"/>
  <headerFooter alignWithMargins="0"/>
  <rowBreaks count="1" manualBreakCount="1">
    <brk id="51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view="pageBreakPreview" zoomScaleNormal="100" zoomScaleSheetLayoutView="100" workbookViewId="0">
      <selection activeCell="BV11" sqref="BV11:BW11"/>
    </sheetView>
  </sheetViews>
  <sheetFormatPr defaultRowHeight="14.25"/>
  <cols>
    <col min="1" max="1" width="9.140625" style="381"/>
    <col min="2" max="5" width="8.28515625" style="381" customWidth="1"/>
    <col min="6" max="6" width="8.85546875" style="382" customWidth="1"/>
    <col min="7" max="14" width="7.28515625" style="381" customWidth="1"/>
    <col min="15" max="16" width="9.140625" style="381"/>
    <col min="17" max="16384" width="9.140625" style="185"/>
  </cols>
  <sheetData>
    <row r="1" spans="1:16" ht="15">
      <c r="A1" s="379"/>
      <c r="B1" s="379"/>
      <c r="C1" s="379"/>
      <c r="D1" s="379"/>
      <c r="E1" s="379"/>
      <c r="F1" s="380"/>
      <c r="G1" s="379"/>
      <c r="H1" s="379"/>
      <c r="I1" s="379"/>
      <c r="J1" s="379"/>
      <c r="K1" s="379"/>
      <c r="L1" s="379"/>
      <c r="M1" s="379"/>
      <c r="N1" s="476" t="s">
        <v>434</v>
      </c>
      <c r="O1" s="476"/>
      <c r="P1" s="379"/>
    </row>
    <row r="2" spans="1:16">
      <c r="A2" s="476" t="s">
        <v>435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</row>
    <row r="3" spans="1:16">
      <c r="A3" s="477" t="s">
        <v>559</v>
      </c>
      <c r="B3" s="477"/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</row>
    <row r="4" spans="1:16" ht="15">
      <c r="A4" s="370" t="s">
        <v>560</v>
      </c>
      <c r="B4" s="478" t="s">
        <v>561</v>
      </c>
      <c r="C4" s="479"/>
      <c r="D4" s="479"/>
      <c r="E4" s="479"/>
      <c r="F4" s="480"/>
      <c r="G4" s="478" t="s">
        <v>562</v>
      </c>
      <c r="H4" s="479"/>
      <c r="I4" s="479"/>
      <c r="J4" s="479"/>
      <c r="K4" s="479"/>
      <c r="L4" s="479"/>
      <c r="M4" s="479"/>
      <c r="N4" s="479"/>
      <c r="O4" s="480"/>
      <c r="P4" s="371" t="s">
        <v>563</v>
      </c>
    </row>
    <row r="5" spans="1:16" ht="15">
      <c r="A5" s="372" t="s">
        <v>564</v>
      </c>
      <c r="B5" s="372" t="s">
        <v>436</v>
      </c>
      <c r="C5" s="372" t="s">
        <v>437</v>
      </c>
      <c r="D5" s="372" t="s">
        <v>565</v>
      </c>
      <c r="E5" s="372" t="s">
        <v>566</v>
      </c>
      <c r="F5" s="373" t="s">
        <v>44</v>
      </c>
      <c r="G5" s="372" t="s">
        <v>567</v>
      </c>
      <c r="H5" s="372" t="s">
        <v>568</v>
      </c>
      <c r="I5" s="372" t="s">
        <v>569</v>
      </c>
      <c r="J5" s="372" t="s">
        <v>438</v>
      </c>
      <c r="K5" s="372" t="s">
        <v>570</v>
      </c>
      <c r="L5" s="372" t="s">
        <v>571</v>
      </c>
      <c r="M5" s="372" t="s">
        <v>572</v>
      </c>
      <c r="N5" s="372" t="s">
        <v>439</v>
      </c>
      <c r="O5" s="374" t="s">
        <v>44</v>
      </c>
      <c r="P5" s="375" t="s">
        <v>573</v>
      </c>
    </row>
    <row r="6" spans="1:16" ht="15">
      <c r="A6" s="481" t="s">
        <v>440</v>
      </c>
      <c r="B6" s="482"/>
      <c r="C6" s="482"/>
      <c r="D6" s="483"/>
      <c r="E6" s="363"/>
      <c r="F6" s="376"/>
      <c r="G6" s="363"/>
      <c r="H6" s="363"/>
      <c r="I6" s="363"/>
      <c r="J6" s="363"/>
      <c r="K6" s="363"/>
      <c r="L6" s="363"/>
      <c r="M6" s="363"/>
      <c r="N6" s="363"/>
      <c r="O6" s="377"/>
      <c r="P6" s="377"/>
    </row>
    <row r="7" spans="1:16" s="369" customFormat="1" ht="15">
      <c r="A7" s="363">
        <v>1996</v>
      </c>
      <c r="B7" s="364">
        <v>124</v>
      </c>
      <c r="C7" s="364">
        <v>144</v>
      </c>
      <c r="D7" s="364">
        <v>339</v>
      </c>
      <c r="E7" s="364">
        <v>73</v>
      </c>
      <c r="F7" s="365">
        <f>+B7+C7+D7+E7</f>
        <v>680</v>
      </c>
      <c r="G7" s="364">
        <v>0</v>
      </c>
      <c r="H7" s="364">
        <v>0</v>
      </c>
      <c r="I7" s="364">
        <v>0</v>
      </c>
      <c r="J7" s="364">
        <v>0</v>
      </c>
      <c r="K7" s="364">
        <v>0</v>
      </c>
      <c r="L7" s="364">
        <v>0</v>
      </c>
      <c r="M7" s="364">
        <v>0</v>
      </c>
      <c r="N7" s="364">
        <v>0</v>
      </c>
      <c r="O7" s="366">
        <f t="shared" ref="O7:O27" si="0">SUM(G7:N7)</f>
        <v>0</v>
      </c>
      <c r="P7" s="366">
        <f>+F7+O7</f>
        <v>680</v>
      </c>
    </row>
    <row r="8" spans="1:16" s="369" customFormat="1" ht="15">
      <c r="A8" s="363">
        <v>1997</v>
      </c>
      <c r="B8" s="364">
        <v>149</v>
      </c>
      <c r="C8" s="364">
        <v>104</v>
      </c>
      <c r="D8" s="364">
        <v>231</v>
      </c>
      <c r="E8" s="364">
        <v>63</v>
      </c>
      <c r="F8" s="365">
        <f t="shared" ref="F8:F27" si="1">+B8+C8+D8+E8</f>
        <v>547</v>
      </c>
      <c r="G8" s="364">
        <v>40</v>
      </c>
      <c r="H8" s="364">
        <v>13</v>
      </c>
      <c r="I8" s="364"/>
      <c r="J8" s="364"/>
      <c r="K8" s="364"/>
      <c r="L8" s="364"/>
      <c r="M8" s="364">
        <v>43</v>
      </c>
      <c r="N8" s="364">
        <v>40</v>
      </c>
      <c r="O8" s="366">
        <f>SUM(G8:N8)</f>
        <v>136</v>
      </c>
      <c r="P8" s="366">
        <f t="shared" ref="P8:P27" si="2">+F8+O8</f>
        <v>683</v>
      </c>
    </row>
    <row r="9" spans="1:16" s="369" customFormat="1" ht="15">
      <c r="A9" s="363">
        <v>1998</v>
      </c>
      <c r="B9" s="364">
        <v>33</v>
      </c>
      <c r="C9" s="364">
        <v>153</v>
      </c>
      <c r="D9" s="364">
        <v>89</v>
      </c>
      <c r="E9" s="364">
        <v>156</v>
      </c>
      <c r="F9" s="365">
        <f t="shared" si="1"/>
        <v>431</v>
      </c>
      <c r="G9" s="364">
        <v>28</v>
      </c>
      <c r="H9" s="364"/>
      <c r="I9" s="364"/>
      <c r="J9" s="364"/>
      <c r="K9" s="364"/>
      <c r="L9" s="364">
        <v>7</v>
      </c>
      <c r="M9" s="364"/>
      <c r="N9" s="364"/>
      <c r="O9" s="366">
        <f t="shared" si="0"/>
        <v>35</v>
      </c>
      <c r="P9" s="366">
        <f t="shared" si="2"/>
        <v>466</v>
      </c>
    </row>
    <row r="10" spans="1:16" s="369" customFormat="1" ht="15">
      <c r="A10" s="363">
        <v>1999</v>
      </c>
      <c r="B10" s="364">
        <v>46</v>
      </c>
      <c r="C10" s="364">
        <v>101</v>
      </c>
      <c r="D10" s="364">
        <v>84</v>
      </c>
      <c r="E10" s="364">
        <v>41</v>
      </c>
      <c r="F10" s="365">
        <f t="shared" si="1"/>
        <v>272</v>
      </c>
      <c r="G10" s="364">
        <v>5</v>
      </c>
      <c r="H10" s="364"/>
      <c r="I10" s="364"/>
      <c r="J10" s="364"/>
      <c r="K10" s="364">
        <v>8</v>
      </c>
      <c r="L10" s="364"/>
      <c r="M10" s="364"/>
      <c r="N10" s="364"/>
      <c r="O10" s="366">
        <f t="shared" si="0"/>
        <v>13</v>
      </c>
      <c r="P10" s="366">
        <f t="shared" si="2"/>
        <v>285</v>
      </c>
    </row>
    <row r="11" spans="1:16" s="369" customFormat="1" ht="15">
      <c r="A11" s="363">
        <v>2000</v>
      </c>
      <c r="B11" s="364">
        <v>0</v>
      </c>
      <c r="C11" s="364">
        <v>264</v>
      </c>
      <c r="D11" s="364">
        <v>31</v>
      </c>
      <c r="E11" s="364">
        <v>91</v>
      </c>
      <c r="F11" s="365">
        <f t="shared" si="1"/>
        <v>386</v>
      </c>
      <c r="G11" s="364"/>
      <c r="H11" s="364"/>
      <c r="I11" s="364"/>
      <c r="J11" s="364"/>
      <c r="K11" s="364"/>
      <c r="L11" s="364"/>
      <c r="M11" s="364"/>
      <c r="N11" s="364">
        <v>17</v>
      </c>
      <c r="O11" s="366">
        <f t="shared" si="0"/>
        <v>17</v>
      </c>
      <c r="P11" s="366">
        <f t="shared" si="2"/>
        <v>403</v>
      </c>
    </row>
    <row r="12" spans="1:16" s="369" customFormat="1" ht="15">
      <c r="A12" s="363">
        <v>2001</v>
      </c>
      <c r="B12" s="364">
        <v>71</v>
      </c>
      <c r="C12" s="364">
        <v>421</v>
      </c>
      <c r="D12" s="364">
        <v>177</v>
      </c>
      <c r="E12" s="364">
        <v>0</v>
      </c>
      <c r="F12" s="365">
        <f t="shared" si="1"/>
        <v>669</v>
      </c>
      <c r="G12" s="364">
        <v>0</v>
      </c>
      <c r="H12" s="364">
        <v>0</v>
      </c>
      <c r="I12" s="364">
        <v>0</v>
      </c>
      <c r="J12" s="364">
        <v>0</v>
      </c>
      <c r="K12" s="364">
        <v>0</v>
      </c>
      <c r="L12" s="364">
        <v>0</v>
      </c>
      <c r="M12" s="364">
        <v>0</v>
      </c>
      <c r="N12" s="364">
        <v>0</v>
      </c>
      <c r="O12" s="366">
        <f t="shared" si="0"/>
        <v>0</v>
      </c>
      <c r="P12" s="366">
        <f t="shared" si="2"/>
        <v>669</v>
      </c>
    </row>
    <row r="13" spans="1:16" s="369" customFormat="1" ht="15">
      <c r="A13" s="363">
        <v>2002</v>
      </c>
      <c r="B13" s="364">
        <v>13</v>
      </c>
      <c r="C13" s="364">
        <v>0</v>
      </c>
      <c r="D13" s="364">
        <v>41</v>
      </c>
      <c r="E13" s="364">
        <v>49</v>
      </c>
      <c r="F13" s="365">
        <f t="shared" si="1"/>
        <v>103</v>
      </c>
      <c r="G13" s="364"/>
      <c r="H13" s="364"/>
      <c r="I13" s="364"/>
      <c r="J13" s="364"/>
      <c r="K13" s="364">
        <v>30</v>
      </c>
      <c r="L13" s="364"/>
      <c r="M13" s="364"/>
      <c r="N13" s="364">
        <v>9</v>
      </c>
      <c r="O13" s="366">
        <f t="shared" si="0"/>
        <v>39</v>
      </c>
      <c r="P13" s="366">
        <f t="shared" si="2"/>
        <v>142</v>
      </c>
    </row>
    <row r="14" spans="1:16" s="369" customFormat="1" ht="15">
      <c r="A14" s="363">
        <v>2003</v>
      </c>
      <c r="B14" s="364">
        <v>56</v>
      </c>
      <c r="C14" s="364">
        <v>182</v>
      </c>
      <c r="D14" s="364">
        <v>102</v>
      </c>
      <c r="E14" s="364">
        <v>33</v>
      </c>
      <c r="F14" s="365">
        <f t="shared" si="1"/>
        <v>373</v>
      </c>
      <c r="G14" s="364"/>
      <c r="H14" s="364"/>
      <c r="I14" s="364"/>
      <c r="J14" s="364"/>
      <c r="K14" s="364">
        <v>20</v>
      </c>
      <c r="L14" s="364"/>
      <c r="M14" s="364"/>
      <c r="N14" s="364"/>
      <c r="O14" s="366">
        <f t="shared" si="0"/>
        <v>20</v>
      </c>
      <c r="P14" s="366">
        <f t="shared" si="2"/>
        <v>393</v>
      </c>
    </row>
    <row r="15" spans="1:16" s="369" customFormat="1" ht="15">
      <c r="A15" s="363">
        <v>2004</v>
      </c>
      <c r="B15" s="364">
        <v>0</v>
      </c>
      <c r="C15" s="364">
        <v>92</v>
      </c>
      <c r="D15" s="364">
        <v>159</v>
      </c>
      <c r="E15" s="364">
        <v>17</v>
      </c>
      <c r="F15" s="365">
        <f t="shared" si="1"/>
        <v>268</v>
      </c>
      <c r="G15" s="364">
        <v>26</v>
      </c>
      <c r="H15" s="364"/>
      <c r="I15" s="364"/>
      <c r="J15" s="364"/>
      <c r="K15" s="364"/>
      <c r="L15" s="364"/>
      <c r="M15" s="364"/>
      <c r="N15" s="364">
        <v>12</v>
      </c>
      <c r="O15" s="366">
        <f t="shared" si="0"/>
        <v>38</v>
      </c>
      <c r="P15" s="366">
        <f t="shared" si="2"/>
        <v>306</v>
      </c>
    </row>
    <row r="16" spans="1:16" s="369" customFormat="1" ht="15">
      <c r="A16" s="363">
        <v>2005</v>
      </c>
      <c r="B16" s="364">
        <v>14</v>
      </c>
      <c r="C16" s="364">
        <v>172</v>
      </c>
      <c r="D16" s="364">
        <v>55</v>
      </c>
      <c r="E16" s="364">
        <v>240</v>
      </c>
      <c r="F16" s="365">
        <f t="shared" si="1"/>
        <v>481</v>
      </c>
      <c r="G16" s="364"/>
      <c r="H16" s="364"/>
      <c r="I16" s="364"/>
      <c r="J16" s="364"/>
      <c r="K16" s="364"/>
      <c r="L16" s="364">
        <v>11</v>
      </c>
      <c r="M16" s="364">
        <v>15</v>
      </c>
      <c r="N16" s="364"/>
      <c r="O16" s="366">
        <f t="shared" si="0"/>
        <v>26</v>
      </c>
      <c r="P16" s="366">
        <f t="shared" si="2"/>
        <v>507</v>
      </c>
    </row>
    <row r="17" spans="1:16" s="369" customFormat="1" ht="15">
      <c r="A17" s="363">
        <v>2006</v>
      </c>
      <c r="B17" s="364">
        <v>57</v>
      </c>
      <c r="C17" s="364">
        <v>76</v>
      </c>
      <c r="D17" s="364">
        <v>126</v>
      </c>
      <c r="E17" s="364">
        <v>39</v>
      </c>
      <c r="F17" s="365">
        <f t="shared" si="1"/>
        <v>298</v>
      </c>
      <c r="G17" s="364"/>
      <c r="H17" s="364"/>
      <c r="I17" s="364"/>
      <c r="J17" s="364"/>
      <c r="K17" s="364"/>
      <c r="L17" s="364"/>
      <c r="M17" s="364"/>
      <c r="N17" s="364">
        <v>2.5</v>
      </c>
      <c r="O17" s="366">
        <f t="shared" si="0"/>
        <v>2.5</v>
      </c>
      <c r="P17" s="366">
        <f t="shared" si="2"/>
        <v>300.5</v>
      </c>
    </row>
    <row r="18" spans="1:16" s="369" customFormat="1" ht="15">
      <c r="A18" s="363">
        <v>2007</v>
      </c>
      <c r="B18" s="364">
        <v>54</v>
      </c>
      <c r="C18" s="364">
        <v>196</v>
      </c>
      <c r="D18" s="364">
        <v>92</v>
      </c>
      <c r="E18" s="364">
        <v>35</v>
      </c>
      <c r="F18" s="365">
        <f t="shared" si="1"/>
        <v>377</v>
      </c>
      <c r="G18" s="364"/>
      <c r="H18" s="364"/>
      <c r="I18" s="364"/>
      <c r="J18" s="364"/>
      <c r="K18" s="364"/>
      <c r="L18" s="364">
        <v>16</v>
      </c>
      <c r="M18" s="364"/>
      <c r="N18" s="364"/>
      <c r="O18" s="366">
        <f t="shared" si="0"/>
        <v>16</v>
      </c>
      <c r="P18" s="366">
        <f t="shared" si="2"/>
        <v>393</v>
      </c>
    </row>
    <row r="19" spans="1:16" s="369" customFormat="1" ht="15">
      <c r="A19" s="363">
        <v>2008</v>
      </c>
      <c r="B19" s="364">
        <v>48</v>
      </c>
      <c r="C19" s="364">
        <v>114</v>
      </c>
      <c r="D19" s="364">
        <v>140</v>
      </c>
      <c r="E19" s="364">
        <v>6</v>
      </c>
      <c r="F19" s="365">
        <f t="shared" si="1"/>
        <v>308</v>
      </c>
      <c r="G19" s="364">
        <v>1</v>
      </c>
      <c r="H19" s="364"/>
      <c r="I19" s="364"/>
      <c r="J19" s="364"/>
      <c r="K19" s="364"/>
      <c r="L19" s="364"/>
      <c r="M19" s="364">
        <v>26</v>
      </c>
      <c r="N19" s="364">
        <v>26</v>
      </c>
      <c r="O19" s="366">
        <f t="shared" si="0"/>
        <v>53</v>
      </c>
      <c r="P19" s="366">
        <f t="shared" si="2"/>
        <v>361</v>
      </c>
    </row>
    <row r="20" spans="1:16" s="369" customFormat="1" ht="15">
      <c r="A20" s="367">
        <v>2009</v>
      </c>
      <c r="B20" s="364">
        <v>10</v>
      </c>
      <c r="C20" s="364">
        <v>76</v>
      </c>
      <c r="D20" s="364">
        <v>29</v>
      </c>
      <c r="E20" s="364">
        <v>8</v>
      </c>
      <c r="F20" s="365">
        <f t="shared" si="1"/>
        <v>123</v>
      </c>
      <c r="G20" s="364"/>
      <c r="H20" s="364"/>
      <c r="I20" s="364"/>
      <c r="J20" s="364"/>
      <c r="K20" s="364"/>
      <c r="L20" s="364">
        <v>2</v>
      </c>
      <c r="M20" s="364"/>
      <c r="N20" s="364">
        <v>2</v>
      </c>
      <c r="O20" s="366">
        <f t="shared" si="0"/>
        <v>4</v>
      </c>
      <c r="P20" s="366">
        <f t="shared" si="2"/>
        <v>127</v>
      </c>
    </row>
    <row r="21" spans="1:16" s="369" customFormat="1" ht="15">
      <c r="A21" s="363">
        <v>2010</v>
      </c>
      <c r="B21" s="364">
        <v>1</v>
      </c>
      <c r="C21" s="364">
        <v>85</v>
      </c>
      <c r="D21" s="364">
        <v>349</v>
      </c>
      <c r="E21" s="364">
        <v>278</v>
      </c>
      <c r="F21" s="365">
        <f t="shared" si="1"/>
        <v>713</v>
      </c>
      <c r="G21" s="364"/>
      <c r="H21" s="364">
        <v>85</v>
      </c>
      <c r="I21" s="364">
        <v>9</v>
      </c>
      <c r="J21" s="364"/>
      <c r="K21" s="364">
        <v>2</v>
      </c>
      <c r="L21" s="364"/>
      <c r="M21" s="364">
        <v>10</v>
      </c>
      <c r="N21" s="364"/>
      <c r="O21" s="366">
        <f t="shared" si="0"/>
        <v>106</v>
      </c>
      <c r="P21" s="366">
        <f t="shared" si="2"/>
        <v>819</v>
      </c>
    </row>
    <row r="22" spans="1:16" s="369" customFormat="1" ht="15">
      <c r="A22" s="363">
        <v>2011</v>
      </c>
      <c r="B22" s="364">
        <v>66</v>
      </c>
      <c r="C22" s="364">
        <v>86</v>
      </c>
      <c r="D22" s="364">
        <v>193</v>
      </c>
      <c r="E22" s="364">
        <v>209</v>
      </c>
      <c r="F22" s="365">
        <f t="shared" si="1"/>
        <v>554</v>
      </c>
      <c r="G22" s="368">
        <v>0</v>
      </c>
      <c r="H22" s="368">
        <v>0</v>
      </c>
      <c r="I22" s="368">
        <v>0</v>
      </c>
      <c r="J22" s="364">
        <v>0</v>
      </c>
      <c r="K22" s="364">
        <v>28</v>
      </c>
      <c r="L22" s="364">
        <v>0</v>
      </c>
      <c r="M22" s="364">
        <v>0</v>
      </c>
      <c r="N22" s="364">
        <v>0</v>
      </c>
      <c r="O22" s="366">
        <f t="shared" si="0"/>
        <v>28</v>
      </c>
      <c r="P22" s="366">
        <f t="shared" si="2"/>
        <v>582</v>
      </c>
    </row>
    <row r="23" spans="1:16" s="369" customFormat="1" ht="15">
      <c r="A23" s="363">
        <v>2012</v>
      </c>
      <c r="B23" s="364">
        <v>0</v>
      </c>
      <c r="C23" s="364">
        <v>126</v>
      </c>
      <c r="D23" s="364">
        <v>391.5</v>
      </c>
      <c r="E23" s="364">
        <v>59.5</v>
      </c>
      <c r="F23" s="365">
        <f t="shared" si="1"/>
        <v>577</v>
      </c>
      <c r="G23" s="364"/>
      <c r="H23" s="364"/>
      <c r="I23" s="364"/>
      <c r="J23" s="364"/>
      <c r="K23" s="364"/>
      <c r="L23" s="364"/>
      <c r="M23" s="364"/>
      <c r="N23" s="364">
        <v>30</v>
      </c>
      <c r="O23" s="366">
        <f t="shared" si="0"/>
        <v>30</v>
      </c>
      <c r="P23" s="366">
        <f t="shared" si="2"/>
        <v>607</v>
      </c>
    </row>
    <row r="24" spans="1:16" s="369" customFormat="1" ht="15">
      <c r="A24" s="363">
        <v>2013</v>
      </c>
      <c r="B24" s="364">
        <v>6</v>
      </c>
      <c r="C24" s="364">
        <v>81.5</v>
      </c>
      <c r="D24" s="364">
        <v>116</v>
      </c>
      <c r="E24" s="364">
        <v>199</v>
      </c>
      <c r="F24" s="365">
        <f t="shared" si="1"/>
        <v>402.5</v>
      </c>
      <c r="G24" s="364"/>
      <c r="H24" s="364"/>
      <c r="I24" s="364"/>
      <c r="J24" s="364">
        <v>4</v>
      </c>
      <c r="K24" s="364">
        <v>15</v>
      </c>
      <c r="L24" s="364"/>
      <c r="M24" s="364"/>
      <c r="N24" s="364"/>
      <c r="O24" s="366">
        <f t="shared" si="0"/>
        <v>19</v>
      </c>
      <c r="P24" s="366">
        <f t="shared" si="2"/>
        <v>421.5</v>
      </c>
    </row>
    <row r="25" spans="1:16" s="369" customFormat="1" ht="15">
      <c r="A25" s="363">
        <v>2014</v>
      </c>
      <c r="B25" s="364">
        <v>3</v>
      </c>
      <c r="C25" s="364">
        <v>92</v>
      </c>
      <c r="D25" s="364">
        <v>429</v>
      </c>
      <c r="E25" s="364">
        <v>110</v>
      </c>
      <c r="F25" s="365">
        <f t="shared" si="1"/>
        <v>634</v>
      </c>
      <c r="G25" s="364"/>
      <c r="H25" s="364"/>
      <c r="I25" s="364"/>
      <c r="J25" s="364">
        <v>3</v>
      </c>
      <c r="K25" s="364">
        <v>3</v>
      </c>
      <c r="L25" s="364">
        <v>6</v>
      </c>
      <c r="M25" s="364">
        <v>13</v>
      </c>
      <c r="N25" s="364">
        <v>17</v>
      </c>
      <c r="O25" s="366">
        <f t="shared" si="0"/>
        <v>42</v>
      </c>
      <c r="P25" s="366">
        <f t="shared" si="2"/>
        <v>676</v>
      </c>
    </row>
    <row r="26" spans="1:16" s="369" customFormat="1" ht="15">
      <c r="A26" s="363">
        <v>2015</v>
      </c>
      <c r="B26" s="364">
        <v>114</v>
      </c>
      <c r="C26" s="364">
        <v>186.5</v>
      </c>
      <c r="D26" s="364">
        <v>42</v>
      </c>
      <c r="E26" s="364">
        <v>8</v>
      </c>
      <c r="F26" s="365">
        <f t="shared" si="1"/>
        <v>350.5</v>
      </c>
      <c r="G26" s="364"/>
      <c r="H26" s="364"/>
      <c r="I26" s="364"/>
      <c r="J26" s="364">
        <v>15</v>
      </c>
      <c r="K26" s="364">
        <v>5</v>
      </c>
      <c r="L26" s="364">
        <v>42</v>
      </c>
      <c r="M26" s="364">
        <v>22</v>
      </c>
      <c r="N26" s="364"/>
      <c r="O26" s="366">
        <f t="shared" si="0"/>
        <v>84</v>
      </c>
      <c r="P26" s="366">
        <f t="shared" si="2"/>
        <v>434.5</v>
      </c>
    </row>
    <row r="27" spans="1:16" s="369" customFormat="1" ht="15">
      <c r="A27" s="363">
        <v>2016</v>
      </c>
      <c r="B27" s="364">
        <v>63</v>
      </c>
      <c r="C27" s="364">
        <v>99</v>
      </c>
      <c r="D27" s="364">
        <v>420.5</v>
      </c>
      <c r="E27" s="364">
        <v>25</v>
      </c>
      <c r="F27" s="365">
        <f t="shared" si="1"/>
        <v>607.5</v>
      </c>
      <c r="G27" s="364">
        <v>58</v>
      </c>
      <c r="H27" s="364"/>
      <c r="I27" s="364"/>
      <c r="J27" s="364"/>
      <c r="K27" s="364"/>
      <c r="L27" s="364">
        <v>2</v>
      </c>
      <c r="M27" s="364"/>
      <c r="N27" s="364"/>
      <c r="O27" s="366">
        <f t="shared" si="0"/>
        <v>60</v>
      </c>
      <c r="P27" s="366">
        <f t="shared" si="2"/>
        <v>667.5</v>
      </c>
    </row>
    <row r="28" spans="1:16" s="369" customFormat="1" ht="15">
      <c r="A28" s="378" t="s">
        <v>605</v>
      </c>
      <c r="B28" s="364"/>
      <c r="C28" s="364"/>
      <c r="D28" s="364"/>
      <c r="E28" s="364"/>
      <c r="F28" s="365">
        <f>AVERAGE(F18:F27)</f>
        <v>464.65</v>
      </c>
      <c r="G28" s="364"/>
      <c r="H28" s="364"/>
      <c r="I28" s="364"/>
      <c r="J28" s="364"/>
      <c r="K28" s="364"/>
      <c r="L28" s="364"/>
      <c r="M28" s="364"/>
      <c r="N28" s="364"/>
      <c r="O28" s="365">
        <f>AVERAGE(O18:O27)</f>
        <v>44.2</v>
      </c>
      <c r="P28" s="365">
        <f>AVERAGE(P18:P27)</f>
        <v>508.85</v>
      </c>
    </row>
  </sheetData>
  <mergeCells count="6">
    <mergeCell ref="N1:O1"/>
    <mergeCell ref="A2:P2"/>
    <mergeCell ref="A3:P3"/>
    <mergeCell ref="B4:F4"/>
    <mergeCell ref="G4:O4"/>
    <mergeCell ref="A6:D6"/>
  </mergeCells>
  <pageMargins left="0.7" right="0.7" top="0.75" bottom="0.75" header="0.3" footer="0.3"/>
  <pageSetup paperSize="9" scale="9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"/>
  <sheetViews>
    <sheetView view="pageBreakPreview" zoomScale="85" zoomScaleNormal="100" zoomScaleSheetLayoutView="85" workbookViewId="0">
      <selection activeCell="N6" sqref="N6"/>
    </sheetView>
  </sheetViews>
  <sheetFormatPr defaultRowHeight="15"/>
  <cols>
    <col min="2" max="2" width="10.42578125" bestFit="1" customWidth="1"/>
  </cols>
  <sheetData>
    <row r="2" spans="1:14">
      <c r="A2" s="486" t="s">
        <v>441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</row>
    <row r="3" spans="1:14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487" t="s">
        <v>442</v>
      </c>
      <c r="N3" s="487"/>
    </row>
    <row r="4" spans="1:14">
      <c r="A4" s="488" t="s">
        <v>56</v>
      </c>
      <c r="B4" s="490" t="s">
        <v>443</v>
      </c>
      <c r="C4" s="484">
        <v>2012</v>
      </c>
      <c r="D4" s="484"/>
      <c r="E4" s="484">
        <v>2013</v>
      </c>
      <c r="F4" s="484"/>
      <c r="G4" s="484">
        <v>2014</v>
      </c>
      <c r="H4" s="484"/>
      <c r="I4" s="484">
        <v>2015</v>
      </c>
      <c r="J4" s="484"/>
      <c r="K4" s="484">
        <v>2016</v>
      </c>
      <c r="L4" s="484"/>
      <c r="M4" s="485" t="s">
        <v>444</v>
      </c>
      <c r="N4" s="485" t="s">
        <v>445</v>
      </c>
    </row>
    <row r="5" spans="1:14" ht="38.25">
      <c r="A5" s="489"/>
      <c r="B5" s="490"/>
      <c r="C5" s="63" t="s">
        <v>446</v>
      </c>
      <c r="D5" s="63" t="s">
        <v>447</v>
      </c>
      <c r="E5" s="63" t="s">
        <v>446</v>
      </c>
      <c r="F5" s="63" t="s">
        <v>447</v>
      </c>
      <c r="G5" s="63" t="s">
        <v>446</v>
      </c>
      <c r="H5" s="63" t="s">
        <v>447</v>
      </c>
      <c r="I5" s="63" t="s">
        <v>446</v>
      </c>
      <c r="J5" s="63" t="s">
        <v>447</v>
      </c>
      <c r="K5" s="63" t="s">
        <v>446</v>
      </c>
      <c r="L5" s="63" t="s">
        <v>447</v>
      </c>
      <c r="M5" s="485"/>
      <c r="N5" s="485"/>
    </row>
    <row r="6" spans="1:14">
      <c r="A6" s="64">
        <v>1</v>
      </c>
      <c r="B6" s="65" t="s">
        <v>70</v>
      </c>
      <c r="C6" s="66">
        <v>393.02</v>
      </c>
      <c r="D6" s="66">
        <f>'MonthlyRF n'!F23</f>
        <v>577</v>
      </c>
      <c r="E6" s="66">
        <v>393.5</v>
      </c>
      <c r="F6" s="66">
        <f>'MonthlyRF n'!F24</f>
        <v>402.5</v>
      </c>
      <c r="G6" s="66">
        <v>398.93</v>
      </c>
      <c r="H6" s="66" t="str">
        <f>I5</f>
        <v>Normal Monsoon Rainfall</v>
      </c>
      <c r="I6" s="66">
        <v>399.03</v>
      </c>
      <c r="J6" s="66">
        <f>'MonthlyRF n'!F26</f>
        <v>350.5</v>
      </c>
      <c r="K6" s="66">
        <v>403.47</v>
      </c>
      <c r="L6" s="66">
        <f>'MonthlyRF n'!F27</f>
        <v>607.5</v>
      </c>
      <c r="M6" s="66">
        <v>40.58</v>
      </c>
      <c r="N6" s="66">
        <f>SUM(K6,M6)</f>
        <v>444.05</v>
      </c>
    </row>
    <row r="8" spans="1:14">
      <c r="A8" t="s">
        <v>574</v>
      </c>
    </row>
  </sheetData>
  <mergeCells count="11">
    <mergeCell ref="G4:H4"/>
    <mergeCell ref="I4:J4"/>
    <mergeCell ref="K4:L4"/>
    <mergeCell ref="M4:M5"/>
    <mergeCell ref="N4:N5"/>
    <mergeCell ref="A2:N2"/>
    <mergeCell ref="M3:N3"/>
    <mergeCell ref="A4:A5"/>
    <mergeCell ref="B4:B5"/>
    <mergeCell ref="C4:D4"/>
    <mergeCell ref="E4:F4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1"/>
  <sheetViews>
    <sheetView view="pageBreakPreview" zoomScale="85" zoomScaleNormal="100" zoomScaleSheetLayoutView="85" workbookViewId="0">
      <selection activeCell="E5" sqref="E5"/>
    </sheetView>
  </sheetViews>
  <sheetFormatPr defaultColWidth="8.85546875" defaultRowHeight="12.75"/>
  <cols>
    <col min="1" max="1" width="9.140625" style="91" customWidth="1"/>
    <col min="2" max="2" width="10.85546875" style="90" customWidth="1"/>
    <col min="3" max="3" width="13.5703125" style="90" customWidth="1"/>
    <col min="4" max="4" width="8.85546875" style="90"/>
    <col min="5" max="5" width="9.140625" style="92" customWidth="1"/>
    <col min="6" max="6" width="9.140625" style="93" customWidth="1"/>
    <col min="7" max="16384" width="8.85546875" style="90"/>
  </cols>
  <sheetData>
    <row r="2" spans="1:6">
      <c r="A2" s="491" t="s">
        <v>508</v>
      </c>
      <c r="B2" s="491"/>
      <c r="C2" s="491"/>
      <c r="D2" s="111"/>
      <c r="E2" s="112" t="s">
        <v>509</v>
      </c>
    </row>
    <row r="3" spans="1:6">
      <c r="A3" s="111" t="s">
        <v>510</v>
      </c>
      <c r="B3" s="111" t="s">
        <v>511</v>
      </c>
      <c r="C3" s="111" t="s">
        <v>512</v>
      </c>
      <c r="D3" s="125" t="s">
        <v>163</v>
      </c>
      <c r="E3" s="126" t="s">
        <v>164</v>
      </c>
    </row>
    <row r="4" spans="1:6">
      <c r="A4" s="111">
        <v>2007</v>
      </c>
      <c r="B4" s="127">
        <f>'MonthlyRF n'!P18</f>
        <v>393</v>
      </c>
      <c r="C4" s="127">
        <f>'MonthlyRF n'!F18</f>
        <v>377</v>
      </c>
      <c r="D4" s="127">
        <f>'WaterLevel trend'!G12</f>
        <v>18.691249999999997</v>
      </c>
      <c r="E4" s="127">
        <f>'WaterLevel trend'!R12</f>
        <v>17.262499999999999</v>
      </c>
    </row>
    <row r="5" spans="1:6">
      <c r="A5" s="111">
        <v>2008</v>
      </c>
      <c r="B5" s="127">
        <f>'MonthlyRF n'!P19</f>
        <v>361</v>
      </c>
      <c r="C5" s="127">
        <f>'MonthlyRF n'!F19</f>
        <v>308</v>
      </c>
      <c r="D5" s="127">
        <f>'WaterLevel trend'!H12</f>
        <v>24.456250000000001</v>
      </c>
      <c r="E5" s="127">
        <f>'WaterLevel trend'!S12</f>
        <v>22.067499999999999</v>
      </c>
    </row>
    <row r="6" spans="1:6">
      <c r="A6" s="111">
        <v>2009</v>
      </c>
      <c r="B6" s="127">
        <f>'MonthlyRF n'!P20</f>
        <v>127</v>
      </c>
      <c r="C6" s="127">
        <f>'MonthlyRF n'!F20</f>
        <v>123</v>
      </c>
      <c r="D6" s="127">
        <f>'WaterLevel trend'!I12</f>
        <v>26.116250000000001</v>
      </c>
      <c r="E6" s="127">
        <f>'WaterLevel trend'!T12</f>
        <v>26.952500000000001</v>
      </c>
    </row>
    <row r="7" spans="1:6">
      <c r="A7" s="111">
        <v>2010</v>
      </c>
      <c r="B7" s="127">
        <f>'MonthlyRF n'!P21</f>
        <v>819</v>
      </c>
      <c r="C7" s="127">
        <f>'MonthlyRF n'!F21</f>
        <v>713</v>
      </c>
      <c r="D7" s="127">
        <f>'WaterLevel trend'!J12</f>
        <v>27.247499999999999</v>
      </c>
      <c r="E7" s="127">
        <f>'WaterLevel trend'!U12</f>
        <v>24.973749999999995</v>
      </c>
    </row>
    <row r="8" spans="1:6">
      <c r="A8" s="111">
        <v>2011</v>
      </c>
      <c r="B8" s="127">
        <f>'MonthlyRF n'!P22</f>
        <v>582</v>
      </c>
      <c r="C8" s="127">
        <f>'MonthlyRF n'!F22</f>
        <v>554</v>
      </c>
      <c r="D8" s="127">
        <f>'WaterLevel trend'!K12</f>
        <v>25.243750000000002</v>
      </c>
      <c r="E8" s="127">
        <f>'WaterLevel trend'!V12</f>
        <v>22.109999999999996</v>
      </c>
    </row>
    <row r="9" spans="1:6">
      <c r="A9" s="111">
        <v>2012</v>
      </c>
      <c r="B9" s="127">
        <f>'MonthlyRF n'!P23</f>
        <v>607</v>
      </c>
      <c r="C9" s="127">
        <f>'MonthlyRF n'!F23</f>
        <v>577</v>
      </c>
      <c r="D9" s="127">
        <f>'WaterLevel trend'!L12</f>
        <v>24.766249999999999</v>
      </c>
      <c r="E9" s="127">
        <f>'WaterLevel trend'!W12</f>
        <v>21.947499999999998</v>
      </c>
      <c r="F9" s="96"/>
    </row>
    <row r="10" spans="1:6">
      <c r="A10" s="111">
        <v>2013</v>
      </c>
      <c r="B10" s="127">
        <f>'MonthlyRF n'!P24</f>
        <v>421.5</v>
      </c>
      <c r="C10" s="127">
        <f>'MonthlyRF n'!F24</f>
        <v>402.5</v>
      </c>
      <c r="D10" s="127">
        <f>'WaterLevel trend'!M12</f>
        <v>23.806249999999999</v>
      </c>
      <c r="E10" s="127">
        <f>'WaterLevel trend'!X12</f>
        <v>23.651250000000001</v>
      </c>
      <c r="F10" s="96"/>
    </row>
    <row r="11" spans="1:6">
      <c r="A11" s="111">
        <v>2014</v>
      </c>
      <c r="B11" s="127">
        <f>'MonthlyRF n'!P25</f>
        <v>676</v>
      </c>
      <c r="C11" s="127">
        <f>'MonthlyRF n'!F25</f>
        <v>634</v>
      </c>
      <c r="D11" s="127">
        <f>'WaterLevel trend'!N12</f>
        <v>24.770000000000003</v>
      </c>
      <c r="E11" s="127">
        <f>'WaterLevel trend'!Y12</f>
        <v>23.118749999999999</v>
      </c>
      <c r="F11" s="96"/>
    </row>
    <row r="12" spans="1:6">
      <c r="A12" s="111">
        <v>2015</v>
      </c>
      <c r="B12" s="127">
        <f>'MonthlyRF n'!P26</f>
        <v>434.5</v>
      </c>
      <c r="C12" s="127">
        <f>'MonthlyRF n'!F26</f>
        <v>350.5</v>
      </c>
      <c r="D12" s="127">
        <f>'WaterLevel trend'!O12</f>
        <v>25.533749999999998</v>
      </c>
      <c r="E12" s="127">
        <f>'WaterLevel trend'!Z12</f>
        <v>24.267499999999998</v>
      </c>
      <c r="F12" s="96"/>
    </row>
    <row r="13" spans="1:6">
      <c r="A13" s="111">
        <v>2016</v>
      </c>
      <c r="B13" s="127">
        <f>'MonthlyRF n'!P27</f>
        <v>667.5</v>
      </c>
      <c r="C13" s="127">
        <f>'MonthlyRF n'!F27</f>
        <v>607.5</v>
      </c>
      <c r="D13" s="127">
        <f>'WaterLevel trend'!P12</f>
        <v>26.206250000000001</v>
      </c>
      <c r="E13" s="127">
        <f>'WaterLevel trend'!AA12</f>
        <v>24.713750000000001</v>
      </c>
      <c r="F13" s="96"/>
    </row>
    <row r="14" spans="1:6">
      <c r="D14" s="94"/>
      <c r="E14" s="95"/>
      <c r="F14" s="96"/>
    </row>
    <row r="15" spans="1:6">
      <c r="D15" s="94"/>
      <c r="E15" s="95"/>
      <c r="F15" s="96"/>
    </row>
    <row r="16" spans="1:6">
      <c r="D16" s="94"/>
      <c r="E16" s="95"/>
      <c r="F16" s="96"/>
    </row>
    <row r="17" spans="4:6">
      <c r="D17" s="94"/>
      <c r="E17" s="95"/>
      <c r="F17" s="96"/>
    </row>
    <row r="18" spans="4:6">
      <c r="D18" s="94"/>
      <c r="E18" s="95"/>
      <c r="F18" s="96"/>
    </row>
    <row r="19" spans="4:6">
      <c r="D19" s="94"/>
      <c r="E19" s="95"/>
      <c r="F19" s="96"/>
    </row>
    <row r="20" spans="4:6">
      <c r="D20" s="94"/>
      <c r="E20" s="95"/>
      <c r="F20" s="96"/>
    </row>
    <row r="21" spans="4:6">
      <c r="D21" s="94"/>
      <c r="E21" s="95"/>
      <c r="F21" s="96"/>
    </row>
    <row r="22" spans="4:6">
      <c r="D22" s="94"/>
      <c r="E22" s="95"/>
      <c r="F22" s="96"/>
    </row>
    <row r="23" spans="4:6">
      <c r="D23" s="94"/>
      <c r="E23" s="95"/>
      <c r="F23" s="96"/>
    </row>
    <row r="24" spans="4:6">
      <c r="D24" s="94"/>
      <c r="E24" s="95"/>
      <c r="F24" s="96"/>
    </row>
    <row r="25" spans="4:6">
      <c r="F25" s="96"/>
    </row>
    <row r="26" spans="4:6">
      <c r="F26" s="96"/>
    </row>
    <row r="27" spans="4:6">
      <c r="F27" s="96"/>
    </row>
    <row r="28" spans="4:6">
      <c r="F28" s="96"/>
    </row>
    <row r="29" spans="4:6">
      <c r="F29" s="96"/>
    </row>
    <row r="30" spans="4:6">
      <c r="F30" s="96"/>
    </row>
    <row r="31" spans="4:6">
      <c r="F31" s="96"/>
    </row>
    <row r="32" spans="4:6">
      <c r="F32" s="96"/>
    </row>
    <row r="33" spans="6:6">
      <c r="F33" s="96"/>
    </row>
    <row r="34" spans="6:6">
      <c r="F34" s="96"/>
    </row>
    <row r="35" spans="6:6">
      <c r="F35" s="96"/>
    </row>
    <row r="36" spans="6:6">
      <c r="F36" s="96"/>
    </row>
    <row r="37" spans="6:6">
      <c r="F37" s="96"/>
    </row>
    <row r="38" spans="6:6">
      <c r="F38" s="96"/>
    </row>
    <row r="39" spans="6:6">
      <c r="F39" s="96"/>
    </row>
    <row r="40" spans="6:6">
      <c r="F40" s="96"/>
    </row>
    <row r="41" spans="6:6">
      <c r="F41" s="96"/>
    </row>
    <row r="42" spans="6:6">
      <c r="F42" s="96"/>
    </row>
    <row r="43" spans="6:6">
      <c r="F43" s="96"/>
    </row>
    <row r="44" spans="6:6">
      <c r="F44" s="96"/>
    </row>
    <row r="45" spans="6:6">
      <c r="F45" s="96"/>
    </row>
    <row r="46" spans="6:6">
      <c r="F46" s="96"/>
    </row>
    <row r="47" spans="6:6">
      <c r="F47" s="96"/>
    </row>
    <row r="48" spans="6:6">
      <c r="F48" s="96"/>
    </row>
    <row r="49" spans="6:6">
      <c r="F49" s="96"/>
    </row>
    <row r="50" spans="6:6">
      <c r="F50" s="96"/>
    </row>
    <row r="51" spans="6:6">
      <c r="F51" s="96"/>
    </row>
    <row r="52" spans="6:6">
      <c r="F52" s="96"/>
    </row>
    <row r="53" spans="6:6">
      <c r="F53" s="96"/>
    </row>
    <row r="54" spans="6:6">
      <c r="F54" s="96"/>
    </row>
    <row r="55" spans="6:6">
      <c r="F55" s="96"/>
    </row>
    <row r="56" spans="6:6">
      <c r="F56" s="96"/>
    </row>
    <row r="57" spans="6:6">
      <c r="F57" s="96"/>
    </row>
    <row r="58" spans="6:6">
      <c r="F58" s="96"/>
    </row>
    <row r="59" spans="6:6">
      <c r="F59" s="96"/>
    </row>
    <row r="60" spans="6:6">
      <c r="F60" s="96"/>
    </row>
    <row r="61" spans="6:6">
      <c r="F61" s="96"/>
    </row>
    <row r="62" spans="6:6">
      <c r="F62" s="96"/>
    </row>
    <row r="63" spans="6:6">
      <c r="F63" s="96"/>
    </row>
    <row r="64" spans="6:6">
      <c r="F64" s="96"/>
    </row>
    <row r="65" spans="6:6">
      <c r="F65" s="96"/>
    </row>
    <row r="66" spans="6:6">
      <c r="F66" s="96"/>
    </row>
    <row r="67" spans="6:6">
      <c r="F67" s="96"/>
    </row>
    <row r="68" spans="6:6">
      <c r="F68" s="96"/>
    </row>
    <row r="69" spans="6:6">
      <c r="F69" s="96"/>
    </row>
    <row r="70" spans="6:6">
      <c r="F70" s="96"/>
    </row>
    <row r="71" spans="6:6">
      <c r="F71" s="96"/>
    </row>
    <row r="72" spans="6:6">
      <c r="F72" s="96"/>
    </row>
    <row r="73" spans="6:6">
      <c r="F73" s="96"/>
    </row>
    <row r="74" spans="6:6">
      <c r="F74" s="96"/>
    </row>
    <row r="75" spans="6:6">
      <c r="F75" s="96"/>
    </row>
    <row r="76" spans="6:6">
      <c r="F76" s="96"/>
    </row>
    <row r="77" spans="6:6">
      <c r="F77" s="96"/>
    </row>
    <row r="78" spans="6:6">
      <c r="F78" s="96"/>
    </row>
    <row r="79" spans="6:6">
      <c r="F79" s="96"/>
    </row>
    <row r="80" spans="6:6">
      <c r="F80" s="96"/>
    </row>
    <row r="81" spans="6:6">
      <c r="F81" s="96"/>
    </row>
    <row r="82" spans="6:6">
      <c r="F82" s="96"/>
    </row>
    <row r="83" spans="6:6">
      <c r="F83" s="96"/>
    </row>
    <row r="84" spans="6:6">
      <c r="F84" s="96"/>
    </row>
    <row r="85" spans="6:6">
      <c r="F85" s="96"/>
    </row>
    <row r="86" spans="6:6">
      <c r="F86" s="96"/>
    </row>
    <row r="87" spans="6:6">
      <c r="F87" s="96"/>
    </row>
    <row r="88" spans="6:6">
      <c r="F88" s="96"/>
    </row>
    <row r="89" spans="6:6">
      <c r="F89" s="96"/>
    </row>
    <row r="90" spans="6:6">
      <c r="F90" s="96"/>
    </row>
    <row r="91" spans="6:6">
      <c r="F91" s="96"/>
    </row>
    <row r="92" spans="6:6">
      <c r="F92" s="96"/>
    </row>
    <row r="93" spans="6:6">
      <c r="F93" s="96"/>
    </row>
    <row r="94" spans="6:6">
      <c r="F94" s="96"/>
    </row>
    <row r="95" spans="6:6">
      <c r="F95" s="96"/>
    </row>
    <row r="96" spans="6:6">
      <c r="F96" s="96"/>
    </row>
    <row r="97" spans="6:6">
      <c r="F97" s="96"/>
    </row>
    <row r="98" spans="6:6">
      <c r="F98" s="96"/>
    </row>
    <row r="99" spans="6:6">
      <c r="F99" s="96"/>
    </row>
    <row r="100" spans="6:6">
      <c r="F100" s="96"/>
    </row>
    <row r="101" spans="6:6">
      <c r="F101" s="96"/>
    </row>
    <row r="102" spans="6:6">
      <c r="F102" s="96"/>
    </row>
    <row r="103" spans="6:6">
      <c r="F103" s="96"/>
    </row>
    <row r="104" spans="6:6">
      <c r="F104" s="96"/>
    </row>
    <row r="105" spans="6:6">
      <c r="F105" s="96"/>
    </row>
    <row r="106" spans="6:6">
      <c r="F106" s="96"/>
    </row>
    <row r="107" spans="6:6">
      <c r="F107" s="96"/>
    </row>
    <row r="108" spans="6:6">
      <c r="F108" s="96"/>
    </row>
    <row r="109" spans="6:6">
      <c r="F109" s="96"/>
    </row>
    <row r="110" spans="6:6">
      <c r="F110" s="96"/>
    </row>
    <row r="111" spans="6:6">
      <c r="F111" s="96"/>
    </row>
  </sheetData>
  <mergeCells count="1">
    <mergeCell ref="A2:C2"/>
  </mergeCells>
  <pageMargins left="0.75" right="0.5" top="0.25" bottom="0.75" header="0.5" footer="0.5"/>
  <pageSetup paperSize="9" scale="95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view="pageBreakPreview" zoomScale="85" zoomScaleNormal="100" zoomScaleSheetLayoutView="85" workbookViewId="0">
      <selection activeCell="H5" sqref="H5"/>
    </sheetView>
  </sheetViews>
  <sheetFormatPr defaultColWidth="8.85546875" defaultRowHeight="12.75"/>
  <cols>
    <col min="1" max="16384" width="8.85546875" style="90"/>
  </cols>
  <sheetData>
    <row r="1" spans="1:9">
      <c r="A1" s="492" t="s">
        <v>452</v>
      </c>
      <c r="B1" s="492"/>
      <c r="C1" s="492"/>
      <c r="D1" s="492"/>
      <c r="E1" s="492"/>
      <c r="F1" s="492"/>
      <c r="G1" s="492"/>
      <c r="H1" s="492"/>
      <c r="I1" s="492"/>
    </row>
    <row r="2" spans="1:9">
      <c r="A2" s="492"/>
      <c r="B2" s="492"/>
      <c r="C2" s="492"/>
      <c r="D2" s="492"/>
      <c r="E2" s="492"/>
      <c r="F2" s="492"/>
      <c r="G2" s="492"/>
      <c r="H2" s="492"/>
      <c r="I2" s="492"/>
    </row>
    <row r="3" spans="1:9">
      <c r="A3" s="97"/>
      <c r="B3" s="97"/>
      <c r="C3" s="97"/>
      <c r="D3" s="98"/>
      <c r="E3" s="98"/>
      <c r="F3" s="98"/>
      <c r="G3" s="98"/>
      <c r="H3" s="98"/>
      <c r="I3" s="98"/>
    </row>
    <row r="4" spans="1:9" ht="63.75">
      <c r="A4" s="99" t="s">
        <v>453</v>
      </c>
      <c r="B4" s="99" t="s">
        <v>454</v>
      </c>
      <c r="C4" s="100" t="s">
        <v>455</v>
      </c>
      <c r="D4" s="100" t="s">
        <v>456</v>
      </c>
      <c r="E4" s="101"/>
      <c r="F4" s="101"/>
      <c r="G4" s="101"/>
      <c r="H4" s="100" t="s">
        <v>457</v>
      </c>
      <c r="I4" s="100" t="s">
        <v>458</v>
      </c>
    </row>
    <row r="5" spans="1:9" ht="21.75" customHeight="1">
      <c r="A5" s="99"/>
      <c r="B5" s="102" t="s">
        <v>459</v>
      </c>
      <c r="C5" s="102" t="s">
        <v>460</v>
      </c>
      <c r="D5" s="102" t="s">
        <v>461</v>
      </c>
      <c r="E5" s="102" t="s">
        <v>462</v>
      </c>
      <c r="F5" s="102" t="s">
        <v>463</v>
      </c>
      <c r="G5" s="102" t="s">
        <v>464</v>
      </c>
      <c r="H5" s="102" t="s">
        <v>465</v>
      </c>
      <c r="I5" s="102" t="s">
        <v>466</v>
      </c>
    </row>
    <row r="6" spans="1:9">
      <c r="A6" s="493" t="s">
        <v>467</v>
      </c>
      <c r="B6" s="493"/>
      <c r="C6" s="494"/>
      <c r="D6" s="495" t="s">
        <v>468</v>
      </c>
      <c r="E6" s="496"/>
      <c r="F6" s="103"/>
      <c r="G6" s="107"/>
      <c r="H6" s="108"/>
      <c r="I6" s="108"/>
    </row>
    <row r="7" spans="1:9">
      <c r="A7" s="102">
        <f>[2]Longterm!A4</f>
        <v>2007</v>
      </c>
      <c r="B7" s="89">
        <v>1</v>
      </c>
      <c r="C7" s="88">
        <f>Longterm!$D$4</f>
        <v>18.691249999999997</v>
      </c>
      <c r="D7" s="88">
        <f>Longterm!$E$4</f>
        <v>17.262499999999999</v>
      </c>
      <c r="E7" s="102">
        <f t="shared" ref="E7:E16" si="0">B7*B7</f>
        <v>1</v>
      </c>
      <c r="F7" s="87">
        <f t="shared" ref="F7:F16" si="1">B7*C7</f>
        <v>18.691249999999997</v>
      </c>
      <c r="G7" s="87">
        <f t="shared" ref="G7:G16" si="2">B7*D7</f>
        <v>17.262499999999999</v>
      </c>
      <c r="H7" s="102"/>
      <c r="I7" s="102"/>
    </row>
    <row r="8" spans="1:9">
      <c r="A8" s="102">
        <f>[2]Longterm!A5</f>
        <v>2008</v>
      </c>
      <c r="B8" s="89">
        <v>2</v>
      </c>
      <c r="C8" s="88">
        <f>Longterm!$D$5</f>
        <v>24.456250000000001</v>
      </c>
      <c r="D8" s="88">
        <f>Longterm!$E$5</f>
        <v>22.067499999999999</v>
      </c>
      <c r="E8" s="102">
        <f t="shared" si="0"/>
        <v>4</v>
      </c>
      <c r="F8" s="87">
        <f t="shared" si="1"/>
        <v>48.912500000000001</v>
      </c>
      <c r="G8" s="87">
        <f t="shared" si="2"/>
        <v>44.134999999999998</v>
      </c>
      <c r="H8" s="102"/>
      <c r="I8" s="102"/>
    </row>
    <row r="9" spans="1:9">
      <c r="A9" s="102">
        <f>[2]Longterm!A6</f>
        <v>2009</v>
      </c>
      <c r="B9" s="89">
        <v>3</v>
      </c>
      <c r="C9" s="88">
        <f>Longterm!$D$6</f>
        <v>26.116250000000001</v>
      </c>
      <c r="D9" s="88">
        <f>Longterm!$E$6</f>
        <v>26.952500000000001</v>
      </c>
      <c r="E9" s="102">
        <f t="shared" si="0"/>
        <v>9</v>
      </c>
      <c r="F9" s="87">
        <f t="shared" si="1"/>
        <v>78.348749999999995</v>
      </c>
      <c r="G9" s="87">
        <f t="shared" si="2"/>
        <v>80.857500000000002</v>
      </c>
      <c r="H9" s="102"/>
      <c r="I9" s="102"/>
    </row>
    <row r="10" spans="1:9">
      <c r="A10" s="102">
        <f>[2]Longterm!A7</f>
        <v>2010</v>
      </c>
      <c r="B10" s="89">
        <v>4</v>
      </c>
      <c r="C10" s="88">
        <f>Longterm!$D$7</f>
        <v>27.247499999999999</v>
      </c>
      <c r="D10" s="88">
        <f>Longterm!$E$7</f>
        <v>24.973749999999995</v>
      </c>
      <c r="E10" s="102">
        <f t="shared" si="0"/>
        <v>16</v>
      </c>
      <c r="F10" s="87">
        <f t="shared" si="1"/>
        <v>108.99</v>
      </c>
      <c r="G10" s="87">
        <f t="shared" si="2"/>
        <v>99.894999999999982</v>
      </c>
      <c r="H10" s="102"/>
      <c r="I10" s="102"/>
    </row>
    <row r="11" spans="1:9">
      <c r="A11" s="102">
        <f>[2]Longterm!A8</f>
        <v>2011</v>
      </c>
      <c r="B11" s="89">
        <v>5</v>
      </c>
      <c r="C11" s="88">
        <f>Longterm!$D$8</f>
        <v>25.243750000000002</v>
      </c>
      <c r="D11" s="88">
        <f>Longterm!$E$8</f>
        <v>22.109999999999996</v>
      </c>
      <c r="E11" s="102">
        <f t="shared" si="0"/>
        <v>25</v>
      </c>
      <c r="F11" s="87">
        <f t="shared" si="1"/>
        <v>126.21875000000001</v>
      </c>
      <c r="G11" s="87">
        <f t="shared" si="2"/>
        <v>110.54999999999998</v>
      </c>
      <c r="H11" s="102"/>
      <c r="I11" s="102"/>
    </row>
    <row r="12" spans="1:9">
      <c r="A12" s="102">
        <f>[2]Longterm!A9</f>
        <v>2012</v>
      </c>
      <c r="B12" s="89">
        <v>6</v>
      </c>
      <c r="C12" s="88">
        <f>Longterm!$D$9</f>
        <v>24.766249999999999</v>
      </c>
      <c r="D12" s="88">
        <f>Longterm!$E$9</f>
        <v>21.947499999999998</v>
      </c>
      <c r="E12" s="102">
        <f t="shared" si="0"/>
        <v>36</v>
      </c>
      <c r="F12" s="87">
        <f t="shared" si="1"/>
        <v>148.5975</v>
      </c>
      <c r="G12" s="87">
        <f t="shared" si="2"/>
        <v>131.685</v>
      </c>
      <c r="H12" s="102"/>
      <c r="I12" s="102"/>
    </row>
    <row r="13" spans="1:9">
      <c r="A13" s="102">
        <f>[2]Longterm!A10</f>
        <v>2013</v>
      </c>
      <c r="B13" s="89">
        <v>7</v>
      </c>
      <c r="C13" s="88">
        <f>Longterm!$D$10</f>
        <v>23.806249999999999</v>
      </c>
      <c r="D13" s="88">
        <f>Longterm!$E$10</f>
        <v>23.651250000000001</v>
      </c>
      <c r="E13" s="102">
        <f t="shared" si="0"/>
        <v>49</v>
      </c>
      <c r="F13" s="87">
        <f t="shared" si="1"/>
        <v>166.64374999999998</v>
      </c>
      <c r="G13" s="87">
        <f t="shared" si="2"/>
        <v>165.55875</v>
      </c>
      <c r="H13" s="102"/>
      <c r="I13" s="102"/>
    </row>
    <row r="14" spans="1:9">
      <c r="A14" s="102">
        <f>[2]Longterm!A11</f>
        <v>2014</v>
      </c>
      <c r="B14" s="89">
        <v>8</v>
      </c>
      <c r="C14" s="88">
        <f>Longterm!$D$11</f>
        <v>24.770000000000003</v>
      </c>
      <c r="D14" s="88">
        <f>Longterm!$E$11</f>
        <v>23.118749999999999</v>
      </c>
      <c r="E14" s="102">
        <f t="shared" si="0"/>
        <v>64</v>
      </c>
      <c r="F14" s="87">
        <f t="shared" si="1"/>
        <v>198.16000000000003</v>
      </c>
      <c r="G14" s="87">
        <f t="shared" si="2"/>
        <v>184.95</v>
      </c>
      <c r="H14" s="102"/>
      <c r="I14" s="102"/>
    </row>
    <row r="15" spans="1:9">
      <c r="A15" s="102">
        <f>[2]Longterm!A12</f>
        <v>2015</v>
      </c>
      <c r="B15" s="89">
        <v>9</v>
      </c>
      <c r="C15" s="88">
        <f>Longterm!$D$12</f>
        <v>25.533749999999998</v>
      </c>
      <c r="D15" s="88">
        <f>Longterm!$E$12</f>
        <v>24.267499999999998</v>
      </c>
      <c r="E15" s="102">
        <f t="shared" si="0"/>
        <v>81</v>
      </c>
      <c r="F15" s="87">
        <f t="shared" si="1"/>
        <v>229.80374999999998</v>
      </c>
      <c r="G15" s="87">
        <f t="shared" si="2"/>
        <v>218.40749999999997</v>
      </c>
      <c r="H15" s="102"/>
      <c r="I15" s="102"/>
    </row>
    <row r="16" spans="1:9">
      <c r="A16" s="102">
        <f>[2]Longterm!A13</f>
        <v>2016</v>
      </c>
      <c r="B16" s="89">
        <v>10</v>
      </c>
      <c r="C16" s="88">
        <f>Longterm!$D$13</f>
        <v>26.206250000000001</v>
      </c>
      <c r="D16" s="88">
        <f>Longterm!$E$13</f>
        <v>24.713750000000001</v>
      </c>
      <c r="E16" s="102">
        <f t="shared" si="0"/>
        <v>100</v>
      </c>
      <c r="F16" s="87">
        <f t="shared" si="1"/>
        <v>262.0625</v>
      </c>
      <c r="G16" s="87">
        <f t="shared" si="2"/>
        <v>247.13750000000002</v>
      </c>
      <c r="H16" s="86" t="str">
        <f>IF(H17&gt;0.2,"YES","NO")</f>
        <v>YES</v>
      </c>
      <c r="I16" s="86" t="str">
        <f>IF(I17&gt;0.2,"YES","NO")</f>
        <v>YES</v>
      </c>
    </row>
    <row r="17" spans="1:9">
      <c r="A17" s="104"/>
      <c r="B17" s="105">
        <f t="shared" ref="B17:G17" si="3">SUM(B7:B16)</f>
        <v>55</v>
      </c>
      <c r="C17" s="105">
        <f t="shared" si="3"/>
        <v>246.83750000000003</v>
      </c>
      <c r="D17" s="105">
        <f t="shared" si="3"/>
        <v>231.065</v>
      </c>
      <c r="E17" s="105">
        <f t="shared" si="3"/>
        <v>385</v>
      </c>
      <c r="F17" s="105">
        <f t="shared" si="3"/>
        <v>1386.42875</v>
      </c>
      <c r="G17" s="105">
        <f t="shared" si="3"/>
        <v>1300.43875</v>
      </c>
      <c r="H17" s="106">
        <f>ROUND(((F17/B17)-(C17/10))/((E17/B17)-(B17/10)),2)</f>
        <v>0.35</v>
      </c>
      <c r="I17" s="109">
        <f>ROUND(((G17/B17)-(D17/10))/((E17/B17)-(B17/10)),2)</f>
        <v>0.36</v>
      </c>
    </row>
  </sheetData>
  <mergeCells count="3">
    <mergeCell ref="A1:I2"/>
    <mergeCell ref="A6:C6"/>
    <mergeCell ref="D6:E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view="pageBreakPreview" zoomScale="85" zoomScaleNormal="100" zoomScaleSheetLayoutView="85" workbookViewId="0">
      <selection activeCell="BV11" sqref="BV11:BW11"/>
    </sheetView>
  </sheetViews>
  <sheetFormatPr defaultColWidth="8.85546875" defaultRowHeight="12.75"/>
  <cols>
    <col min="1" max="1" width="8.85546875" style="90"/>
    <col min="2" max="2" width="18.5703125" style="90" customWidth="1"/>
    <col min="3" max="3" width="17.5703125" style="90" customWidth="1"/>
    <col min="4" max="6" width="18.7109375" style="90" customWidth="1"/>
    <col min="7" max="7" width="13.28515625" style="90" customWidth="1"/>
    <col min="8" max="8" width="10.7109375" style="90" customWidth="1"/>
    <col min="9" max="16384" width="8.85546875" style="90"/>
  </cols>
  <sheetData>
    <row r="1" spans="1:7" ht="18.75">
      <c r="A1" s="114"/>
      <c r="B1" s="114"/>
      <c r="C1" s="114"/>
      <c r="D1" s="114"/>
      <c r="E1" s="114"/>
      <c r="F1" s="115" t="s">
        <v>502</v>
      </c>
    </row>
    <row r="2" spans="1:7" ht="18.75">
      <c r="A2" s="499" t="s">
        <v>503</v>
      </c>
      <c r="B2" s="499"/>
      <c r="C2" s="499"/>
      <c r="D2" s="499"/>
      <c r="E2" s="499"/>
      <c r="F2" s="499"/>
      <c r="G2" s="499"/>
    </row>
    <row r="3" spans="1:7" ht="18.75">
      <c r="A3" s="499" t="s">
        <v>504</v>
      </c>
      <c r="B3" s="499"/>
      <c r="C3" s="499"/>
      <c r="D3" s="499"/>
      <c r="E3" s="499"/>
      <c r="F3" s="499"/>
      <c r="G3" s="499"/>
    </row>
    <row r="4" spans="1:7" ht="18.75">
      <c r="A4" s="114"/>
      <c r="B4" s="114"/>
      <c r="C4" s="114"/>
      <c r="D4" s="114"/>
      <c r="E4" s="114"/>
      <c r="F4" s="114"/>
    </row>
    <row r="5" spans="1:7" s="190" customFormat="1" ht="17.100000000000001" customHeight="1">
      <c r="A5" s="498" t="s">
        <v>505</v>
      </c>
      <c r="B5" s="498" t="s">
        <v>101</v>
      </c>
      <c r="C5" s="498" t="s">
        <v>73</v>
      </c>
      <c r="D5" s="498" t="s">
        <v>506</v>
      </c>
      <c r="E5" s="498"/>
      <c r="F5" s="498"/>
      <c r="G5" s="498"/>
    </row>
    <row r="6" spans="1:7" s="190" customFormat="1" ht="17.100000000000001" customHeight="1">
      <c r="A6" s="503"/>
      <c r="B6" s="503"/>
      <c r="C6" s="503"/>
      <c r="D6" s="191" t="s">
        <v>586</v>
      </c>
      <c r="E6" s="191" t="s">
        <v>588</v>
      </c>
      <c r="F6" s="191" t="s">
        <v>589</v>
      </c>
      <c r="G6" s="191">
        <v>2041</v>
      </c>
    </row>
    <row r="7" spans="1:7" ht="17.100000000000001" customHeight="1">
      <c r="A7" s="117"/>
      <c r="B7" s="118"/>
      <c r="C7" s="118"/>
      <c r="D7" s="118"/>
      <c r="E7" s="118"/>
      <c r="F7" s="118"/>
      <c r="G7" s="118"/>
    </row>
    <row r="8" spans="1:7" ht="17.100000000000001" customHeight="1">
      <c r="A8" s="116">
        <v>1</v>
      </c>
      <c r="B8" s="118" t="s">
        <v>507</v>
      </c>
      <c r="C8" s="116" t="s">
        <v>493</v>
      </c>
      <c r="D8" s="189">
        <v>4.99</v>
      </c>
      <c r="E8" s="189">
        <f>'Dom Draft IV'!J136</f>
        <v>6.3564750000000005</v>
      </c>
      <c r="F8" s="189">
        <f>'Projected Cal. '!E14</f>
        <v>7.4870999999999999</v>
      </c>
      <c r="G8" s="189">
        <f>'Projected Cal. '!E30</f>
        <v>10.0341</v>
      </c>
    </row>
    <row r="9" spans="1:7" ht="17.100000000000001" customHeight="1">
      <c r="A9" s="119"/>
      <c r="B9" s="120"/>
      <c r="C9" s="121"/>
      <c r="D9" s="122"/>
      <c r="E9" s="122"/>
      <c r="F9" s="123"/>
      <c r="G9" s="123"/>
    </row>
    <row r="10" spans="1:7" ht="17.100000000000001" customHeight="1">
      <c r="A10" s="500" t="s">
        <v>44</v>
      </c>
      <c r="B10" s="501"/>
      <c r="C10" s="502"/>
      <c r="D10" s="124">
        <f>D8</f>
        <v>4.99</v>
      </c>
      <c r="E10" s="124">
        <f>E8</f>
        <v>6.3564750000000005</v>
      </c>
      <c r="F10" s="124">
        <f>F8</f>
        <v>7.4870999999999999</v>
      </c>
      <c r="G10" s="124">
        <f>G8</f>
        <v>10.0341</v>
      </c>
    </row>
    <row r="11" spans="1:7" ht="18.75">
      <c r="A11" s="114"/>
      <c r="B11" s="114"/>
      <c r="C11" s="114"/>
      <c r="D11" s="114"/>
      <c r="E11" s="114"/>
      <c r="F11" s="114"/>
    </row>
    <row r="12" spans="1:7" ht="24" customHeight="1">
      <c r="A12" s="497" t="s">
        <v>587</v>
      </c>
      <c r="B12" s="497"/>
      <c r="C12" s="497"/>
      <c r="D12" s="497"/>
      <c r="E12" s="497"/>
      <c r="F12" s="497"/>
      <c r="G12" s="497"/>
    </row>
    <row r="13" spans="1:7" ht="25.9" customHeight="1">
      <c r="A13" s="497" t="s">
        <v>590</v>
      </c>
      <c r="B13" s="497"/>
      <c r="C13" s="497"/>
      <c r="D13" s="497"/>
      <c r="E13" s="497"/>
      <c r="F13" s="497"/>
      <c r="G13" s="497"/>
    </row>
    <row r="14" spans="1:7" ht="13.9" customHeight="1">
      <c r="A14" s="497" t="s">
        <v>594</v>
      </c>
      <c r="B14" s="497"/>
      <c r="C14" s="497"/>
      <c r="D14" s="497"/>
      <c r="E14" s="497"/>
      <c r="F14" s="497"/>
      <c r="G14" s="497"/>
    </row>
  </sheetData>
  <mergeCells count="10">
    <mergeCell ref="A13:G13"/>
    <mergeCell ref="A14:G14"/>
    <mergeCell ref="A12:G12"/>
    <mergeCell ref="D5:G5"/>
    <mergeCell ref="A2:G2"/>
    <mergeCell ref="A3:G3"/>
    <mergeCell ref="A10:C10"/>
    <mergeCell ref="A5:A6"/>
    <mergeCell ref="B5:B6"/>
    <mergeCell ref="C5:C6"/>
  </mergeCells>
  <pageMargins left="0.75" right="0.75" top="0.25" bottom="0.25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>
      <selection activeCell="BV11" sqref="BV11:BW11"/>
    </sheetView>
  </sheetViews>
  <sheetFormatPr defaultRowHeight="15"/>
  <cols>
    <col min="3" max="3" width="11.7109375" customWidth="1"/>
    <col min="4" max="4" width="15.28515625" customWidth="1"/>
    <col min="5" max="5" width="14" bestFit="1" customWidth="1"/>
  </cols>
  <sheetData>
    <row r="1" spans="2:5" ht="33.6" customHeight="1">
      <c r="B1" s="504" t="s">
        <v>595</v>
      </c>
      <c r="C1" s="504"/>
      <c r="D1" s="504"/>
      <c r="E1" s="504"/>
    </row>
    <row r="3" spans="2:5" ht="15.75" thickBot="1">
      <c r="B3" t="s">
        <v>591</v>
      </c>
      <c r="C3" s="192">
        <v>0.1847</v>
      </c>
    </row>
    <row r="4" spans="2:5" ht="15.75" thickBot="1">
      <c r="B4" s="194" t="s">
        <v>358</v>
      </c>
      <c r="C4" s="195" t="s">
        <v>453</v>
      </c>
      <c r="D4" s="196" t="s">
        <v>592</v>
      </c>
      <c r="E4" s="197" t="s">
        <v>593</v>
      </c>
    </row>
    <row r="5" spans="2:5">
      <c r="B5" s="198">
        <v>1</v>
      </c>
      <c r="C5" s="199">
        <v>2016</v>
      </c>
      <c r="D5" s="199">
        <v>6.35</v>
      </c>
      <c r="E5" s="200"/>
    </row>
    <row r="6" spans="2:5">
      <c r="B6" s="201">
        <v>2</v>
      </c>
      <c r="C6" s="193">
        <v>2017</v>
      </c>
      <c r="D6" s="193">
        <f>E6</f>
        <v>6.4672999999999998</v>
      </c>
      <c r="E6" s="202">
        <f>ROUND(D5*1.01847,4)</f>
        <v>6.4672999999999998</v>
      </c>
    </row>
    <row r="7" spans="2:5">
      <c r="B7" s="201">
        <v>3</v>
      </c>
      <c r="C7" s="193">
        <v>2018</v>
      </c>
      <c r="D7" s="193">
        <f t="shared" ref="D7:D30" si="0">E7</f>
        <v>6.5868000000000002</v>
      </c>
      <c r="E7" s="202">
        <f t="shared" ref="E7:E30" si="1">ROUND(D6*1.01847,4)</f>
        <v>6.5868000000000002</v>
      </c>
    </row>
    <row r="8" spans="2:5">
      <c r="B8" s="201">
        <v>4</v>
      </c>
      <c r="C8" s="193">
        <v>2019</v>
      </c>
      <c r="D8" s="193">
        <f t="shared" si="0"/>
        <v>6.7084999999999999</v>
      </c>
      <c r="E8" s="202">
        <f t="shared" si="1"/>
        <v>6.7084999999999999</v>
      </c>
    </row>
    <row r="9" spans="2:5">
      <c r="B9" s="201">
        <v>5</v>
      </c>
      <c r="C9" s="193">
        <v>2020</v>
      </c>
      <c r="D9" s="193">
        <f t="shared" si="0"/>
        <v>6.8323999999999998</v>
      </c>
      <c r="E9" s="202">
        <f t="shared" si="1"/>
        <v>6.8323999999999998</v>
      </c>
    </row>
    <row r="10" spans="2:5">
      <c r="B10" s="201">
        <v>6</v>
      </c>
      <c r="C10" s="193">
        <v>2021</v>
      </c>
      <c r="D10" s="193">
        <f t="shared" si="0"/>
        <v>6.9585999999999997</v>
      </c>
      <c r="E10" s="202">
        <f t="shared" si="1"/>
        <v>6.9585999999999997</v>
      </c>
    </row>
    <row r="11" spans="2:5">
      <c r="B11" s="201">
        <v>7</v>
      </c>
      <c r="C11" s="193">
        <v>2022</v>
      </c>
      <c r="D11" s="193">
        <f t="shared" si="0"/>
        <v>7.0871000000000004</v>
      </c>
      <c r="E11" s="202">
        <f t="shared" si="1"/>
        <v>7.0871000000000004</v>
      </c>
    </row>
    <row r="12" spans="2:5">
      <c r="B12" s="201">
        <v>8</v>
      </c>
      <c r="C12" s="193">
        <v>2023</v>
      </c>
      <c r="D12" s="193">
        <f t="shared" si="0"/>
        <v>7.218</v>
      </c>
      <c r="E12" s="202">
        <f t="shared" si="1"/>
        <v>7.218</v>
      </c>
    </row>
    <row r="13" spans="2:5">
      <c r="B13" s="201">
        <v>9</v>
      </c>
      <c r="C13" s="193">
        <v>2024</v>
      </c>
      <c r="D13" s="193">
        <f t="shared" si="0"/>
        <v>7.3513000000000002</v>
      </c>
      <c r="E13" s="202">
        <f t="shared" si="1"/>
        <v>7.3513000000000002</v>
      </c>
    </row>
    <row r="14" spans="2:5">
      <c r="B14" s="201">
        <v>10</v>
      </c>
      <c r="C14" s="193">
        <v>2025</v>
      </c>
      <c r="D14" s="193">
        <f t="shared" si="0"/>
        <v>7.4870999999999999</v>
      </c>
      <c r="E14" s="202">
        <f t="shared" si="1"/>
        <v>7.4870999999999999</v>
      </c>
    </row>
    <row r="15" spans="2:5">
      <c r="B15" s="201">
        <v>11</v>
      </c>
      <c r="C15" s="193">
        <v>2026</v>
      </c>
      <c r="D15" s="193">
        <f t="shared" si="0"/>
        <v>7.6254</v>
      </c>
      <c r="E15" s="202">
        <f t="shared" si="1"/>
        <v>7.6254</v>
      </c>
    </row>
    <row r="16" spans="2:5">
      <c r="B16" s="201">
        <v>12</v>
      </c>
      <c r="C16" s="193">
        <v>2027</v>
      </c>
      <c r="D16" s="193">
        <f t="shared" si="0"/>
        <v>7.7662000000000004</v>
      </c>
      <c r="E16" s="202">
        <f t="shared" si="1"/>
        <v>7.7662000000000004</v>
      </c>
    </row>
    <row r="17" spans="2:5">
      <c r="B17" s="201">
        <v>13</v>
      </c>
      <c r="C17" s="193">
        <v>2028</v>
      </c>
      <c r="D17" s="193">
        <f t="shared" si="0"/>
        <v>7.9096000000000002</v>
      </c>
      <c r="E17" s="202">
        <f t="shared" si="1"/>
        <v>7.9096000000000002</v>
      </c>
    </row>
    <row r="18" spans="2:5">
      <c r="B18" s="201">
        <v>14</v>
      </c>
      <c r="C18" s="193">
        <v>2029</v>
      </c>
      <c r="D18" s="193">
        <f t="shared" si="0"/>
        <v>8.0556999999999999</v>
      </c>
      <c r="E18" s="202">
        <f t="shared" si="1"/>
        <v>8.0556999999999999</v>
      </c>
    </row>
    <row r="19" spans="2:5">
      <c r="B19" s="201">
        <v>15</v>
      </c>
      <c r="C19" s="193">
        <v>2030</v>
      </c>
      <c r="D19" s="193">
        <f t="shared" si="0"/>
        <v>8.2044999999999995</v>
      </c>
      <c r="E19" s="202">
        <f t="shared" si="1"/>
        <v>8.2044999999999995</v>
      </c>
    </row>
    <row r="20" spans="2:5">
      <c r="B20" s="201">
        <v>16</v>
      </c>
      <c r="C20" s="193">
        <v>2031</v>
      </c>
      <c r="D20" s="193">
        <f t="shared" si="0"/>
        <v>8.3559999999999999</v>
      </c>
      <c r="E20" s="202">
        <f t="shared" si="1"/>
        <v>8.3559999999999999</v>
      </c>
    </row>
    <row r="21" spans="2:5">
      <c r="B21" s="201">
        <v>17</v>
      </c>
      <c r="C21" s="193">
        <v>2032</v>
      </c>
      <c r="D21" s="193">
        <f t="shared" si="0"/>
        <v>8.5103000000000009</v>
      </c>
      <c r="E21" s="202">
        <f t="shared" si="1"/>
        <v>8.5103000000000009</v>
      </c>
    </row>
    <row r="22" spans="2:5">
      <c r="B22" s="201">
        <v>18</v>
      </c>
      <c r="C22" s="193">
        <v>2033</v>
      </c>
      <c r="D22" s="193">
        <f t="shared" si="0"/>
        <v>8.6675000000000004</v>
      </c>
      <c r="E22" s="202">
        <f t="shared" si="1"/>
        <v>8.6675000000000004</v>
      </c>
    </row>
    <row r="23" spans="2:5">
      <c r="B23" s="201">
        <v>19</v>
      </c>
      <c r="C23" s="193">
        <v>2034</v>
      </c>
      <c r="D23" s="193">
        <f t="shared" si="0"/>
        <v>8.8276000000000003</v>
      </c>
      <c r="E23" s="202">
        <f t="shared" si="1"/>
        <v>8.8276000000000003</v>
      </c>
    </row>
    <row r="24" spans="2:5">
      <c r="B24" s="201">
        <v>20</v>
      </c>
      <c r="C24" s="193">
        <v>2035</v>
      </c>
      <c r="D24" s="193">
        <f t="shared" si="0"/>
        <v>8.9906000000000006</v>
      </c>
      <c r="E24" s="202">
        <f t="shared" si="1"/>
        <v>8.9906000000000006</v>
      </c>
    </row>
    <row r="25" spans="2:5">
      <c r="B25" s="201">
        <v>21</v>
      </c>
      <c r="C25" s="193">
        <v>2036</v>
      </c>
      <c r="D25" s="193">
        <f t="shared" si="0"/>
        <v>9.1567000000000007</v>
      </c>
      <c r="E25" s="202">
        <f t="shared" si="1"/>
        <v>9.1567000000000007</v>
      </c>
    </row>
    <row r="26" spans="2:5">
      <c r="B26" s="201">
        <v>22</v>
      </c>
      <c r="C26" s="193">
        <v>2037</v>
      </c>
      <c r="D26" s="193">
        <f t="shared" si="0"/>
        <v>9.3257999999999992</v>
      </c>
      <c r="E26" s="202">
        <f t="shared" si="1"/>
        <v>9.3257999999999992</v>
      </c>
    </row>
    <row r="27" spans="2:5">
      <c r="B27" s="201">
        <v>23</v>
      </c>
      <c r="C27" s="193">
        <v>2038</v>
      </c>
      <c r="D27" s="193">
        <f t="shared" si="0"/>
        <v>9.4979999999999993</v>
      </c>
      <c r="E27" s="202">
        <f t="shared" si="1"/>
        <v>9.4979999999999993</v>
      </c>
    </row>
    <row r="28" spans="2:5">
      <c r="B28" s="201">
        <v>24</v>
      </c>
      <c r="C28" s="193">
        <v>2039</v>
      </c>
      <c r="D28" s="193">
        <f t="shared" si="0"/>
        <v>9.6734000000000009</v>
      </c>
      <c r="E28" s="202">
        <f t="shared" si="1"/>
        <v>9.6734000000000009</v>
      </c>
    </row>
    <row r="29" spans="2:5">
      <c r="B29" s="201">
        <v>25</v>
      </c>
      <c r="C29" s="193">
        <v>2040</v>
      </c>
      <c r="D29" s="193">
        <f t="shared" si="0"/>
        <v>9.8521000000000001</v>
      </c>
      <c r="E29" s="202">
        <f t="shared" si="1"/>
        <v>9.8521000000000001</v>
      </c>
    </row>
    <row r="30" spans="2:5" ht="15.75" thickBot="1">
      <c r="B30" s="203">
        <v>26</v>
      </c>
      <c r="C30" s="204">
        <v>2041</v>
      </c>
      <c r="D30" s="204">
        <f t="shared" si="0"/>
        <v>10.0341</v>
      </c>
      <c r="E30" s="205">
        <f t="shared" si="1"/>
        <v>10.0341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8"/>
  <sheetViews>
    <sheetView view="pageBreakPreview" zoomScale="85" zoomScaleNormal="115" zoomScaleSheetLayoutView="85" workbookViewId="0">
      <pane ySplit="2" topLeftCell="A9" activePane="bottomLeft" state="frozen"/>
      <selection activeCell="BV11" sqref="BV11:BW11"/>
      <selection pane="bottomLeft" activeCell="BV11" sqref="BV11:BW11"/>
    </sheetView>
  </sheetViews>
  <sheetFormatPr defaultRowHeight="15.75"/>
  <cols>
    <col min="1" max="1" width="6.28515625" style="58" bestFit="1" customWidth="1"/>
    <col min="2" max="2" width="17.85546875" style="54" bestFit="1" customWidth="1"/>
    <col min="3" max="3" width="14.28515625" style="54" bestFit="1" customWidth="1"/>
    <col min="4" max="4" width="10.7109375" style="58" bestFit="1" customWidth="1"/>
    <col min="5" max="5" width="20.7109375" style="58" bestFit="1" customWidth="1"/>
    <col min="6" max="6" width="18" style="58" customWidth="1"/>
    <col min="7" max="7" width="12.7109375" style="54" customWidth="1"/>
    <col min="8" max="16384" width="9.140625" style="54"/>
  </cols>
  <sheetData>
    <row r="1" spans="1:7" s="53" customFormat="1" ht="40.5" customHeight="1" thickBot="1">
      <c r="A1" s="508" t="s">
        <v>596</v>
      </c>
      <c r="B1" s="508"/>
      <c r="C1" s="508"/>
      <c r="D1" s="508"/>
      <c r="E1" s="508"/>
      <c r="F1" s="508"/>
      <c r="G1" s="508"/>
    </row>
    <row r="2" spans="1:7" s="53" customFormat="1" ht="81" customHeight="1" thickBot="1">
      <c r="A2" s="228" t="s">
        <v>358</v>
      </c>
      <c r="B2" s="211" t="s">
        <v>43</v>
      </c>
      <c r="C2" s="216" t="s">
        <v>601</v>
      </c>
      <c r="D2" s="216" t="s">
        <v>597</v>
      </c>
      <c r="E2" s="216" t="s">
        <v>599</v>
      </c>
      <c r="F2" s="216" t="s">
        <v>600</v>
      </c>
      <c r="G2" s="212" t="s">
        <v>598</v>
      </c>
    </row>
    <row r="3" spans="1:7">
      <c r="A3" s="229">
        <v>1</v>
      </c>
      <c r="B3" s="232" t="s">
        <v>6</v>
      </c>
      <c r="C3" s="225" t="s">
        <v>297</v>
      </c>
      <c r="D3" s="217">
        <v>12.103699684143066</v>
      </c>
      <c r="E3" s="221">
        <v>0</v>
      </c>
      <c r="F3" s="217">
        <v>12.103699684143066</v>
      </c>
      <c r="G3" s="213">
        <f>ROUND(F3/D3%,4)</f>
        <v>100</v>
      </c>
    </row>
    <row r="4" spans="1:7">
      <c r="A4" s="230">
        <v>2</v>
      </c>
      <c r="B4" s="233" t="s">
        <v>11</v>
      </c>
      <c r="C4" s="226" t="s">
        <v>347</v>
      </c>
      <c r="D4" s="218">
        <v>1.8954499959945679</v>
      </c>
      <c r="E4" s="222">
        <v>0</v>
      </c>
      <c r="F4" s="218">
        <v>1.8954499959945679</v>
      </c>
      <c r="G4" s="214">
        <f>ROUND(F4/D4%,4)</f>
        <v>100</v>
      </c>
    </row>
    <row r="5" spans="1:7">
      <c r="A5" s="230">
        <v>3</v>
      </c>
      <c r="B5" s="233" t="s">
        <v>15</v>
      </c>
      <c r="C5" s="226" t="s">
        <v>348</v>
      </c>
      <c r="D5" s="218">
        <v>1.4127299785614014</v>
      </c>
      <c r="E5" s="222">
        <v>0</v>
      </c>
      <c r="F5" s="218">
        <v>1.4127299785614014</v>
      </c>
      <c r="G5" s="214">
        <f t="shared" ref="G5:G46" si="0">ROUND(F5/D5%,4)</f>
        <v>100</v>
      </c>
    </row>
    <row r="6" spans="1:7">
      <c r="A6" s="230">
        <v>4</v>
      </c>
      <c r="B6" s="233" t="s">
        <v>16</v>
      </c>
      <c r="C6" s="226" t="s">
        <v>349</v>
      </c>
      <c r="D6" s="218">
        <v>15.7069997787475</v>
      </c>
      <c r="E6" s="222">
        <v>0</v>
      </c>
      <c r="F6" s="218">
        <v>15.706999778747559</v>
      </c>
      <c r="G6" s="214">
        <f t="shared" si="0"/>
        <v>100</v>
      </c>
    </row>
    <row r="7" spans="1:7">
      <c r="A7" s="230">
        <v>5</v>
      </c>
      <c r="B7" s="233" t="s">
        <v>34</v>
      </c>
      <c r="C7" s="226" t="s">
        <v>347</v>
      </c>
      <c r="D7" s="218">
        <v>10.673199653625488</v>
      </c>
      <c r="E7" s="222">
        <v>0</v>
      </c>
      <c r="F7" s="218">
        <v>10.673199653625488</v>
      </c>
      <c r="G7" s="214">
        <f t="shared" si="0"/>
        <v>100</v>
      </c>
    </row>
    <row r="8" spans="1:7">
      <c r="A8" s="230">
        <v>6</v>
      </c>
      <c r="B8" s="233" t="s">
        <v>2</v>
      </c>
      <c r="C8" s="226" t="s">
        <v>350</v>
      </c>
      <c r="D8" s="218">
        <v>9.8885402679443359</v>
      </c>
      <c r="E8" s="222">
        <v>0.32651996612548828</v>
      </c>
      <c r="F8" s="218">
        <v>9.5620203018188477</v>
      </c>
      <c r="G8" s="214">
        <f t="shared" si="0"/>
        <v>96.697999999999993</v>
      </c>
    </row>
    <row r="9" spans="1:7">
      <c r="A9" s="230">
        <v>7</v>
      </c>
      <c r="B9" s="233" t="s">
        <v>21</v>
      </c>
      <c r="C9" s="226" t="s">
        <v>351</v>
      </c>
      <c r="D9" s="218">
        <v>13.748200416564941</v>
      </c>
      <c r="E9" s="222">
        <v>0.386199951171875</v>
      </c>
      <c r="F9" s="218">
        <v>13.362000465393066</v>
      </c>
      <c r="G9" s="214">
        <f t="shared" si="0"/>
        <v>97.190899999999999</v>
      </c>
    </row>
    <row r="10" spans="1:7">
      <c r="A10" s="230">
        <v>8</v>
      </c>
      <c r="B10" s="233" t="s">
        <v>135</v>
      </c>
      <c r="C10" s="226" t="s">
        <v>297</v>
      </c>
      <c r="D10" s="218">
        <v>7.0615401268005371</v>
      </c>
      <c r="E10" s="222">
        <v>2.3901600837707502</v>
      </c>
      <c r="F10" s="218">
        <v>4.6713800430297852</v>
      </c>
      <c r="G10" s="214">
        <f t="shared" si="0"/>
        <v>66.1524</v>
      </c>
    </row>
    <row r="11" spans="1:7">
      <c r="A11" s="230">
        <v>9</v>
      </c>
      <c r="B11" s="233" t="s">
        <v>35</v>
      </c>
      <c r="C11" s="226" t="s">
        <v>351</v>
      </c>
      <c r="D11" s="218">
        <v>3.7273299694061279</v>
      </c>
      <c r="E11" s="222">
        <v>0.20908999443054199</v>
      </c>
      <c r="F11" s="218">
        <v>3.5182399749755859</v>
      </c>
      <c r="G11" s="214">
        <f t="shared" si="0"/>
        <v>94.3904</v>
      </c>
    </row>
    <row r="12" spans="1:7">
      <c r="A12" s="230">
        <v>10</v>
      </c>
      <c r="B12" s="233" t="s">
        <v>40</v>
      </c>
      <c r="C12" s="226" t="s">
        <v>347</v>
      </c>
      <c r="D12" s="218">
        <v>8.3984203338623047</v>
      </c>
      <c r="E12" s="222">
        <v>9.3990325927734375E-2</v>
      </c>
      <c r="F12" s="218">
        <v>8.3044300079345703</v>
      </c>
      <c r="G12" s="214">
        <f t="shared" si="0"/>
        <v>98.880899999999997</v>
      </c>
    </row>
    <row r="13" spans="1:7">
      <c r="A13" s="230">
        <v>11</v>
      </c>
      <c r="B13" s="233" t="s">
        <v>0</v>
      </c>
      <c r="C13" s="226" t="s">
        <v>330</v>
      </c>
      <c r="D13" s="218">
        <v>12.754500389099121</v>
      </c>
      <c r="E13" s="222">
        <v>7.0449404716491699</v>
      </c>
      <c r="F13" s="218">
        <v>5.7095599174499512</v>
      </c>
      <c r="G13" s="214">
        <f t="shared" si="0"/>
        <v>44.765099999999997</v>
      </c>
    </row>
    <row r="14" spans="1:7">
      <c r="A14" s="230">
        <v>12</v>
      </c>
      <c r="B14" s="233" t="s">
        <v>1</v>
      </c>
      <c r="C14" s="226" t="s">
        <v>352</v>
      </c>
      <c r="D14" s="218">
        <v>5.0411500930786133</v>
      </c>
      <c r="E14" s="222">
        <v>0.93150997161865234</v>
      </c>
      <c r="F14" s="218">
        <v>4.1096401214599609</v>
      </c>
      <c r="G14" s="214">
        <f t="shared" si="0"/>
        <v>81.521900000000002</v>
      </c>
    </row>
    <row r="15" spans="1:7">
      <c r="A15" s="230">
        <v>13</v>
      </c>
      <c r="B15" s="233" t="s">
        <v>3</v>
      </c>
      <c r="C15" s="226" t="s">
        <v>299</v>
      </c>
      <c r="D15" s="218">
        <v>14.173800468444824</v>
      </c>
      <c r="E15" s="222">
        <v>3.4893007278442383</v>
      </c>
      <c r="F15" s="218">
        <v>10.684499740600586</v>
      </c>
      <c r="G15" s="214">
        <f t="shared" si="0"/>
        <v>75.382000000000005</v>
      </c>
    </row>
    <row r="16" spans="1:7">
      <c r="A16" s="230">
        <v>14</v>
      </c>
      <c r="B16" s="233" t="s">
        <v>4</v>
      </c>
      <c r="C16" s="226" t="s">
        <v>293</v>
      </c>
      <c r="D16" s="218">
        <v>21.946199417114258</v>
      </c>
      <c r="E16" s="222">
        <v>0.9319000244140625</v>
      </c>
      <c r="F16" s="218">
        <v>21.014299392700195</v>
      </c>
      <c r="G16" s="214">
        <f t="shared" si="0"/>
        <v>95.753699999999995</v>
      </c>
    </row>
    <row r="17" spans="1:7">
      <c r="A17" s="230">
        <v>15</v>
      </c>
      <c r="B17" s="233" t="s">
        <v>5</v>
      </c>
      <c r="C17" s="226" t="s">
        <v>312</v>
      </c>
      <c r="D17" s="218">
        <v>5.1395797729492188</v>
      </c>
      <c r="E17" s="222">
        <v>0.84704971313476563</v>
      </c>
      <c r="F17" s="218">
        <v>4.2925300598144531</v>
      </c>
      <c r="G17" s="214">
        <f t="shared" si="0"/>
        <v>83.519099999999995</v>
      </c>
    </row>
    <row r="18" spans="1:7">
      <c r="A18" s="230">
        <v>16</v>
      </c>
      <c r="B18" s="233" t="s">
        <v>7</v>
      </c>
      <c r="C18" s="226" t="s">
        <v>352</v>
      </c>
      <c r="D18" s="218">
        <v>10.690899848937988</v>
      </c>
      <c r="E18" s="222">
        <v>4.7009696960449219</v>
      </c>
      <c r="F18" s="218">
        <v>5.9899301528930664</v>
      </c>
      <c r="G18" s="214">
        <f t="shared" si="0"/>
        <v>56.028300000000002</v>
      </c>
    </row>
    <row r="19" spans="1:7">
      <c r="A19" s="230">
        <v>17</v>
      </c>
      <c r="B19" s="233" t="s">
        <v>8</v>
      </c>
      <c r="C19" s="226" t="s">
        <v>309</v>
      </c>
      <c r="D19" s="218">
        <v>11.297800064086914</v>
      </c>
      <c r="E19" s="222">
        <v>2.1448001861572266</v>
      </c>
      <c r="F19" s="218">
        <v>9.1529998779296875</v>
      </c>
      <c r="G19" s="214">
        <f t="shared" si="0"/>
        <v>81.015799999999999</v>
      </c>
    </row>
    <row r="20" spans="1:7">
      <c r="A20" s="230">
        <v>18</v>
      </c>
      <c r="B20" s="233" t="s">
        <v>9</v>
      </c>
      <c r="C20" s="226" t="s">
        <v>330</v>
      </c>
      <c r="D20" s="218">
        <v>16.48699951171875</v>
      </c>
      <c r="E20" s="222">
        <v>14.073819398880005</v>
      </c>
      <c r="F20" s="218">
        <v>2.4131801128387451</v>
      </c>
      <c r="G20" s="214">
        <f t="shared" si="0"/>
        <v>14.636900000000001</v>
      </c>
    </row>
    <row r="21" spans="1:7">
      <c r="A21" s="230">
        <v>19</v>
      </c>
      <c r="B21" s="233" t="s">
        <v>10</v>
      </c>
      <c r="C21" s="226" t="s">
        <v>334</v>
      </c>
      <c r="D21" s="218">
        <v>6.3080000877380371</v>
      </c>
      <c r="E21" s="222">
        <v>1.9876399040222168</v>
      </c>
      <c r="F21" s="218">
        <v>4.3203601837158203</v>
      </c>
      <c r="G21" s="214">
        <f t="shared" si="0"/>
        <v>68.490200000000002</v>
      </c>
    </row>
    <row r="22" spans="1:7">
      <c r="A22" s="230">
        <v>20</v>
      </c>
      <c r="B22" s="233" t="s">
        <v>12</v>
      </c>
      <c r="C22" s="226" t="s">
        <v>312</v>
      </c>
      <c r="D22" s="218">
        <v>8.7814502716064453</v>
      </c>
      <c r="E22" s="222">
        <v>2.8349905014038086</v>
      </c>
      <c r="F22" s="218">
        <v>5.9464597702026367</v>
      </c>
      <c r="G22" s="214">
        <f t="shared" si="0"/>
        <v>67.716099999999997</v>
      </c>
    </row>
    <row r="23" spans="1:7">
      <c r="A23" s="230">
        <v>21</v>
      </c>
      <c r="B23" s="233" t="s">
        <v>13</v>
      </c>
      <c r="C23" s="226" t="s">
        <v>349</v>
      </c>
      <c r="D23" s="218">
        <v>27.187599182128906</v>
      </c>
      <c r="E23" s="222">
        <v>20.802958965301514</v>
      </c>
      <c r="F23" s="218">
        <v>6.3846402168273926</v>
      </c>
      <c r="G23" s="214">
        <f t="shared" si="0"/>
        <v>23.483599999999999</v>
      </c>
    </row>
    <row r="24" spans="1:7">
      <c r="A24" s="230">
        <v>22</v>
      </c>
      <c r="B24" s="233" t="s">
        <v>14</v>
      </c>
      <c r="C24" s="226" t="s">
        <v>353</v>
      </c>
      <c r="D24" s="218">
        <v>9.0484895706176758</v>
      </c>
      <c r="E24" s="222">
        <v>6.1533296108245858</v>
      </c>
      <c r="F24" s="218">
        <v>2.8951599597930899</v>
      </c>
      <c r="G24" s="214">
        <f t="shared" si="0"/>
        <v>31.996099999999998</v>
      </c>
    </row>
    <row r="25" spans="1:7">
      <c r="A25" s="230">
        <v>23</v>
      </c>
      <c r="B25" s="233" t="s">
        <v>55</v>
      </c>
      <c r="C25" s="226" t="s">
        <v>334</v>
      </c>
      <c r="D25" s="218">
        <v>5.0832099914550781</v>
      </c>
      <c r="E25" s="222">
        <v>3.9775799512863159</v>
      </c>
      <c r="F25" s="218">
        <v>1.1056300401687622</v>
      </c>
      <c r="G25" s="214">
        <f t="shared" si="0"/>
        <v>21.750599999999999</v>
      </c>
    </row>
    <row r="26" spans="1:7">
      <c r="A26" s="230">
        <v>24</v>
      </c>
      <c r="B26" s="233" t="s">
        <v>17</v>
      </c>
      <c r="C26" s="226" t="s">
        <v>354</v>
      </c>
      <c r="D26" s="218">
        <v>20.607400894165039</v>
      </c>
      <c r="E26" s="222">
        <v>0.77810096740722656</v>
      </c>
      <c r="F26" s="218">
        <v>19.829299926757813</v>
      </c>
      <c r="G26" s="214">
        <f t="shared" si="0"/>
        <v>96.224199999999996</v>
      </c>
    </row>
    <row r="27" spans="1:7">
      <c r="A27" s="230">
        <v>25</v>
      </c>
      <c r="B27" s="233" t="s">
        <v>18</v>
      </c>
      <c r="C27" s="226" t="s">
        <v>343</v>
      </c>
      <c r="D27" s="218">
        <v>5.6951398849487305</v>
      </c>
      <c r="E27" s="222">
        <v>3.3518798351287842</v>
      </c>
      <c r="F27" s="218">
        <v>2.3432600498199463</v>
      </c>
      <c r="G27" s="214">
        <f t="shared" si="0"/>
        <v>41.1449</v>
      </c>
    </row>
    <row r="28" spans="1:7">
      <c r="A28" s="230">
        <v>26</v>
      </c>
      <c r="B28" s="233" t="s">
        <v>19</v>
      </c>
      <c r="C28" s="226" t="s">
        <v>343</v>
      </c>
      <c r="D28" s="218">
        <v>5.3997597694396973</v>
      </c>
      <c r="E28" s="222">
        <v>2.2058696746826172</v>
      </c>
      <c r="F28" s="218">
        <v>3.1938900947570801</v>
      </c>
      <c r="G28" s="214">
        <f t="shared" si="0"/>
        <v>59.148699999999998</v>
      </c>
    </row>
    <row r="29" spans="1:7">
      <c r="A29" s="230">
        <v>27</v>
      </c>
      <c r="B29" s="233" t="s">
        <v>20</v>
      </c>
      <c r="C29" s="226" t="s">
        <v>315</v>
      </c>
      <c r="D29" s="218">
        <v>15.176699638366699</v>
      </c>
      <c r="E29" s="222">
        <v>3.2669000625610352</v>
      </c>
      <c r="F29" s="218">
        <v>11.909799575805664</v>
      </c>
      <c r="G29" s="214">
        <f t="shared" si="0"/>
        <v>78.474199999999996</v>
      </c>
    </row>
    <row r="30" spans="1:7">
      <c r="A30" s="230">
        <v>28</v>
      </c>
      <c r="B30" s="233" t="s">
        <v>23</v>
      </c>
      <c r="C30" s="226" t="s">
        <v>353</v>
      </c>
      <c r="D30" s="218">
        <v>8.2122097015380859</v>
      </c>
      <c r="E30" s="222">
        <v>5.0057597160339355</v>
      </c>
      <c r="F30" s="218">
        <v>3.2064499855041504</v>
      </c>
      <c r="G30" s="214">
        <f t="shared" si="0"/>
        <v>39.044899999999998</v>
      </c>
    </row>
    <row r="31" spans="1:7">
      <c r="A31" s="230">
        <v>29</v>
      </c>
      <c r="B31" s="233" t="s">
        <v>26</v>
      </c>
      <c r="C31" s="226" t="s">
        <v>348</v>
      </c>
      <c r="D31" s="218">
        <v>10.905599594116211</v>
      </c>
      <c r="E31" s="222">
        <v>1.6927394866943359</v>
      </c>
      <c r="F31" s="218">
        <v>9.212860107421875</v>
      </c>
      <c r="G31" s="214">
        <f t="shared" si="0"/>
        <v>84.478300000000004</v>
      </c>
    </row>
    <row r="32" spans="1:7">
      <c r="A32" s="230">
        <v>30</v>
      </c>
      <c r="B32" s="233" t="s">
        <v>27</v>
      </c>
      <c r="C32" s="226" t="s">
        <v>351</v>
      </c>
      <c r="D32" s="218">
        <v>17.180000305175781</v>
      </c>
      <c r="E32" s="222">
        <v>3.2525005340576172</v>
      </c>
      <c r="F32" s="218">
        <v>13.927499771118164</v>
      </c>
      <c r="G32" s="214">
        <f t="shared" si="0"/>
        <v>81.068100000000001</v>
      </c>
    </row>
    <row r="33" spans="1:7">
      <c r="A33" s="230">
        <v>31</v>
      </c>
      <c r="B33" s="233" t="s">
        <v>79</v>
      </c>
      <c r="C33" s="226" t="s">
        <v>309</v>
      </c>
      <c r="D33" s="218">
        <v>4.859220027923584</v>
      </c>
      <c r="E33" s="222">
        <v>0.47990989685058594</v>
      </c>
      <c r="F33" s="218">
        <v>4.379310131072998</v>
      </c>
      <c r="G33" s="214">
        <f t="shared" si="0"/>
        <v>90.123699999999999</v>
      </c>
    </row>
    <row r="34" spans="1:7">
      <c r="A34" s="230">
        <v>32</v>
      </c>
      <c r="B34" s="233" t="s">
        <v>29</v>
      </c>
      <c r="C34" s="226" t="s">
        <v>293</v>
      </c>
      <c r="D34" s="218">
        <v>8.2504301071166992</v>
      </c>
      <c r="E34" s="222">
        <v>2.1697402000427246</v>
      </c>
      <c r="F34" s="218">
        <v>6.0806899070739746</v>
      </c>
      <c r="G34" s="214">
        <f t="shared" si="0"/>
        <v>73.701499999999996</v>
      </c>
    </row>
    <row r="35" spans="1:7">
      <c r="A35" s="230">
        <v>33</v>
      </c>
      <c r="B35" s="233" t="s">
        <v>30</v>
      </c>
      <c r="C35" s="226" t="s">
        <v>355</v>
      </c>
      <c r="D35" s="218">
        <v>21.104099273681641</v>
      </c>
      <c r="E35" s="222">
        <v>4.3060989379882813</v>
      </c>
      <c r="F35" s="218">
        <v>16.798000335693359</v>
      </c>
      <c r="G35" s="214">
        <f t="shared" si="0"/>
        <v>79.5959</v>
      </c>
    </row>
    <row r="36" spans="1:7">
      <c r="A36" s="230">
        <v>34</v>
      </c>
      <c r="B36" s="233" t="s">
        <v>31</v>
      </c>
      <c r="C36" s="226" t="s">
        <v>192</v>
      </c>
      <c r="D36" s="218">
        <v>42.446601867675781</v>
      </c>
      <c r="E36" s="222">
        <v>22.19330215454108</v>
      </c>
      <c r="F36" s="218">
        <v>20.253299713134702</v>
      </c>
      <c r="G36" s="214">
        <f t="shared" si="0"/>
        <v>47.714799999999997</v>
      </c>
    </row>
    <row r="37" spans="1:7">
      <c r="A37" s="230">
        <v>35</v>
      </c>
      <c r="B37" s="233" t="s">
        <v>32</v>
      </c>
      <c r="C37" s="226" t="s">
        <v>356</v>
      </c>
      <c r="D37" s="218">
        <v>14.642000198364258</v>
      </c>
      <c r="E37" s="222">
        <v>12.48546028137207</v>
      </c>
      <c r="F37" s="218">
        <v>2.1565399169921875</v>
      </c>
      <c r="G37" s="214">
        <f t="shared" si="0"/>
        <v>14.7285</v>
      </c>
    </row>
    <row r="38" spans="1:7">
      <c r="A38" s="230">
        <v>36</v>
      </c>
      <c r="B38" s="233" t="s">
        <v>33</v>
      </c>
      <c r="C38" s="226" t="s">
        <v>356</v>
      </c>
      <c r="D38" s="218">
        <v>8.4826698303222656</v>
      </c>
      <c r="E38" s="222">
        <v>6.2937397956848145</v>
      </c>
      <c r="F38" s="218">
        <v>2.1889300346374512</v>
      </c>
      <c r="G38" s="214">
        <f t="shared" si="0"/>
        <v>25.8047</v>
      </c>
    </row>
    <row r="39" spans="1:7">
      <c r="A39" s="230">
        <v>37</v>
      </c>
      <c r="B39" s="233" t="s">
        <v>36</v>
      </c>
      <c r="C39" s="226" t="s">
        <v>353</v>
      </c>
      <c r="D39" s="218">
        <v>5.0978999137878418</v>
      </c>
      <c r="E39" s="222">
        <v>2.9564099311828613</v>
      </c>
      <c r="F39" s="218">
        <v>2.1414899826049805</v>
      </c>
      <c r="G39" s="214">
        <f t="shared" si="0"/>
        <v>42.007300000000001</v>
      </c>
    </row>
    <row r="40" spans="1:7">
      <c r="A40" s="230">
        <v>38</v>
      </c>
      <c r="B40" s="233" t="s">
        <v>37</v>
      </c>
      <c r="C40" s="226" t="s">
        <v>325</v>
      </c>
      <c r="D40" s="218">
        <v>25.12190055847168</v>
      </c>
      <c r="E40" s="222">
        <v>9.6241006851196289</v>
      </c>
      <c r="F40" s="218">
        <v>15.497799873352051</v>
      </c>
      <c r="G40" s="214">
        <f t="shared" si="0"/>
        <v>61.690399999999997</v>
      </c>
    </row>
    <row r="41" spans="1:7">
      <c r="A41" s="230">
        <v>39</v>
      </c>
      <c r="B41" s="233" t="s">
        <v>38</v>
      </c>
      <c r="C41" s="226" t="s">
        <v>354</v>
      </c>
      <c r="D41" s="218">
        <v>3.9310200214385986</v>
      </c>
      <c r="E41" s="222">
        <v>0.52064990997314453</v>
      </c>
      <c r="F41" s="218">
        <v>3.4103701114654541</v>
      </c>
      <c r="G41" s="214">
        <f t="shared" si="0"/>
        <v>86.755300000000005</v>
      </c>
    </row>
    <row r="42" spans="1:7">
      <c r="A42" s="230">
        <v>40</v>
      </c>
      <c r="B42" s="233" t="s">
        <v>39</v>
      </c>
      <c r="C42" s="226" t="s">
        <v>350</v>
      </c>
      <c r="D42" s="218">
        <v>3.9297800064086914</v>
      </c>
      <c r="E42" s="222">
        <v>3.3139300346374512</v>
      </c>
      <c r="F42" s="218">
        <v>0.61584997177124023</v>
      </c>
      <c r="G42" s="214">
        <f t="shared" si="0"/>
        <v>15.6714</v>
      </c>
    </row>
    <row r="43" spans="1:7">
      <c r="A43" s="230">
        <v>41</v>
      </c>
      <c r="B43" s="233" t="s">
        <v>357</v>
      </c>
      <c r="C43" s="226" t="s">
        <v>350</v>
      </c>
      <c r="D43" s="218">
        <v>9.6999999999999993</v>
      </c>
      <c r="E43" s="222">
        <v>3.68807029724121</v>
      </c>
      <c r="F43" s="218">
        <f>D43-E43</f>
        <v>6.0119297027587892</v>
      </c>
      <c r="G43" s="214">
        <f t="shared" si="0"/>
        <v>61.978700000000003</v>
      </c>
    </row>
    <row r="44" spans="1:7">
      <c r="A44" s="230">
        <v>42</v>
      </c>
      <c r="B44" s="233" t="s">
        <v>25</v>
      </c>
      <c r="C44" s="226" t="s">
        <v>350</v>
      </c>
      <c r="D44" s="218">
        <v>5.61</v>
      </c>
      <c r="E44" s="222">
        <v>2.2999999999999998</v>
      </c>
      <c r="F44" s="218">
        <f>D44-E44</f>
        <v>3.3100000000000005</v>
      </c>
      <c r="G44" s="214">
        <f t="shared" si="0"/>
        <v>59.001800000000003</v>
      </c>
    </row>
    <row r="45" spans="1:7">
      <c r="A45" s="230">
        <v>43</v>
      </c>
      <c r="B45" s="233" t="s">
        <v>42</v>
      </c>
      <c r="C45" s="226" t="s">
        <v>315</v>
      </c>
      <c r="D45" s="218">
        <v>11.984999656677246</v>
      </c>
      <c r="E45" s="222">
        <v>7.4626297950744629</v>
      </c>
      <c r="F45" s="218">
        <v>4.5223698616027832</v>
      </c>
      <c r="G45" s="214">
        <f t="shared" si="0"/>
        <v>37.733600000000003</v>
      </c>
    </row>
    <row r="46" spans="1:7" ht="16.5" thickBot="1">
      <c r="A46" s="231">
        <v>44</v>
      </c>
      <c r="B46" s="227" t="s">
        <v>24</v>
      </c>
      <c r="C46" s="227" t="s">
        <v>24</v>
      </c>
      <c r="D46" s="224">
        <f>E46+F46</f>
        <v>7.8309300422668455</v>
      </c>
      <c r="E46" s="223">
        <v>5.8</v>
      </c>
      <c r="F46" s="219">
        <v>2.0309300422668457</v>
      </c>
      <c r="G46" s="215">
        <f t="shared" si="0"/>
        <v>25.934699999999999</v>
      </c>
    </row>
    <row r="47" spans="1:7" ht="19.5" thickBot="1">
      <c r="A47" s="505" t="s">
        <v>44</v>
      </c>
      <c r="B47" s="506"/>
      <c r="C47" s="507"/>
      <c r="D47" s="220">
        <f>SUM(D3:D46)</f>
        <v>494.72415016651149</v>
      </c>
      <c r="E47" s="220">
        <f>SUM(E3:E46)</f>
        <v>176.47454164028176</v>
      </c>
      <c r="F47" s="220">
        <f>SUM(F3:F46)</f>
        <v>318.24960852622979</v>
      </c>
      <c r="G47" s="55"/>
    </row>
    <row r="48" spans="1:7">
      <c r="A48" s="56"/>
      <c r="B48" s="57"/>
      <c r="C48" s="57"/>
      <c r="D48" s="56"/>
      <c r="E48" s="56"/>
      <c r="F48" s="56"/>
    </row>
  </sheetData>
  <mergeCells count="2">
    <mergeCell ref="A47:C47"/>
    <mergeCell ref="A1:G1"/>
  </mergeCells>
  <printOptions horizontalCentered="1"/>
  <pageMargins left="0.3" right="0.3" top="0.61" bottom="0.37" header="0.1" footer="0.1"/>
  <pageSetup paperSize="9" scale="84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F4" sqref="F4"/>
    </sheetView>
  </sheetViews>
  <sheetFormatPr defaultRowHeight="15"/>
  <cols>
    <col min="3" max="3" width="13" customWidth="1"/>
    <col min="4" max="4" width="10.28515625" customWidth="1"/>
    <col min="5" max="5" width="13.5703125" customWidth="1"/>
    <col min="6" max="6" width="15.42578125" customWidth="1"/>
  </cols>
  <sheetData>
    <row r="1" spans="1:8">
      <c r="A1" s="510" t="s">
        <v>530</v>
      </c>
      <c r="B1" s="511"/>
      <c r="C1" s="511"/>
      <c r="D1" s="511"/>
      <c r="E1" s="511"/>
      <c r="F1" s="511"/>
    </row>
    <row r="2" spans="1:8" ht="25.5">
      <c r="A2" s="146" t="s">
        <v>56</v>
      </c>
      <c r="B2" s="147" t="s">
        <v>101</v>
      </c>
      <c r="C2" s="147" t="s">
        <v>121</v>
      </c>
      <c r="D2" s="147" t="s">
        <v>556</v>
      </c>
      <c r="E2" s="148" t="s">
        <v>557</v>
      </c>
      <c r="F2" s="148" t="s">
        <v>531</v>
      </c>
    </row>
    <row r="3" spans="1:8" ht="15.75">
      <c r="A3" s="512">
        <v>1</v>
      </c>
      <c r="B3" s="515" t="s">
        <v>532</v>
      </c>
      <c r="C3" s="518" t="s">
        <v>138</v>
      </c>
      <c r="D3" s="519"/>
      <c r="E3" s="519"/>
      <c r="F3" s="519"/>
    </row>
    <row r="4" spans="1:8">
      <c r="A4" s="513"/>
      <c r="B4" s="516"/>
      <c r="C4" s="145" t="s">
        <v>533</v>
      </c>
      <c r="D4" s="171">
        <v>0.62780000000000002</v>
      </c>
      <c r="E4" s="171">
        <v>0.03</v>
      </c>
      <c r="F4" s="171">
        <f t="shared" ref="F4:F9" si="0">D4*E4</f>
        <v>1.8834E-2</v>
      </c>
      <c r="H4">
        <f>D4*E4</f>
        <v>1.8834E-2</v>
      </c>
    </row>
    <row r="5" spans="1:8">
      <c r="A5" s="513"/>
      <c r="B5" s="516"/>
      <c r="C5" s="145" t="s">
        <v>534</v>
      </c>
      <c r="D5" s="171">
        <v>46.771099999999997</v>
      </c>
      <c r="E5" s="171">
        <v>0.03</v>
      </c>
      <c r="F5" s="171">
        <f t="shared" si="0"/>
        <v>1.403133</v>
      </c>
    </row>
    <row r="6" spans="1:8">
      <c r="A6" s="513"/>
      <c r="B6" s="516"/>
      <c r="C6" s="145" t="s">
        <v>535</v>
      </c>
      <c r="D6" s="171">
        <v>46.917099999999998</v>
      </c>
      <c r="E6" s="171">
        <v>0.02</v>
      </c>
      <c r="F6" s="171">
        <f t="shared" si="0"/>
        <v>0.93834200000000001</v>
      </c>
    </row>
    <row r="7" spans="1:8">
      <c r="A7" s="513"/>
      <c r="B7" s="516"/>
      <c r="C7" s="145" t="s">
        <v>536</v>
      </c>
      <c r="D7" s="171">
        <v>25.3018</v>
      </c>
      <c r="E7" s="171">
        <v>0.04</v>
      </c>
      <c r="F7" s="171">
        <f t="shared" si="0"/>
        <v>1.0120720000000001</v>
      </c>
    </row>
    <row r="8" spans="1:8">
      <c r="A8" s="513"/>
      <c r="B8" s="516"/>
      <c r="C8" s="145" t="s">
        <v>537</v>
      </c>
      <c r="D8" s="171">
        <v>7.8255999999999997</v>
      </c>
      <c r="E8" s="171">
        <v>0.06</v>
      </c>
      <c r="F8" s="171">
        <f t="shared" si="0"/>
        <v>0.46953599999999995</v>
      </c>
    </row>
    <row r="9" spans="1:8">
      <c r="A9" s="513"/>
      <c r="B9" s="516"/>
      <c r="C9" s="145" t="s">
        <v>538</v>
      </c>
      <c r="D9" s="171">
        <v>0.37229999999999996</v>
      </c>
      <c r="E9" s="171">
        <v>0.05</v>
      </c>
      <c r="F9" s="171">
        <f t="shared" si="0"/>
        <v>1.8615E-2</v>
      </c>
    </row>
    <row r="10" spans="1:8">
      <c r="A10" s="513"/>
      <c r="B10" s="516"/>
      <c r="C10" s="145" t="s">
        <v>539</v>
      </c>
      <c r="D10" s="171">
        <v>36.113100000000003</v>
      </c>
      <c r="E10" s="171">
        <v>0.02</v>
      </c>
      <c r="F10" s="171">
        <v>1.8056550000000002</v>
      </c>
    </row>
    <row r="11" spans="1:8">
      <c r="A11" s="513"/>
      <c r="B11" s="516"/>
      <c r="C11" s="520" t="s">
        <v>540</v>
      </c>
      <c r="D11" s="521"/>
      <c r="E11" s="521"/>
      <c r="F11" s="174">
        <f>SUM(F4:F10)</f>
        <v>5.6661869999999999</v>
      </c>
    </row>
    <row r="12" spans="1:8" ht="15.75">
      <c r="A12" s="513"/>
      <c r="B12" s="516"/>
      <c r="C12" s="151" t="s">
        <v>148</v>
      </c>
      <c r="D12" s="152"/>
      <c r="E12" s="152"/>
      <c r="F12" s="173"/>
    </row>
    <row r="13" spans="1:8">
      <c r="A13" s="513"/>
      <c r="B13" s="516"/>
      <c r="C13" s="145" t="s">
        <v>541</v>
      </c>
      <c r="D13" s="171">
        <v>29.8643</v>
      </c>
      <c r="E13" s="171">
        <v>0.8</v>
      </c>
      <c r="F13" s="171">
        <f t="shared" ref="F13:F18" si="1">D13*E13</f>
        <v>23.891440000000003</v>
      </c>
    </row>
    <row r="14" spans="1:8">
      <c r="A14" s="513"/>
      <c r="B14" s="516"/>
      <c r="C14" s="145" t="s">
        <v>542</v>
      </c>
      <c r="D14" s="171">
        <v>37.762900000000002</v>
      </c>
      <c r="E14" s="171">
        <v>0.4</v>
      </c>
      <c r="F14" s="171">
        <f t="shared" si="1"/>
        <v>15.105160000000001</v>
      </c>
    </row>
    <row r="15" spans="1:8">
      <c r="A15" s="513"/>
      <c r="B15" s="516"/>
      <c r="C15" s="145" t="s">
        <v>543</v>
      </c>
      <c r="D15" s="171">
        <v>1.1000000000000001</v>
      </c>
      <c r="E15" s="171">
        <v>0.8</v>
      </c>
      <c r="F15" s="171">
        <f t="shared" si="1"/>
        <v>0.88000000000000012</v>
      </c>
    </row>
    <row r="16" spans="1:8">
      <c r="A16" s="513"/>
      <c r="B16" s="516"/>
      <c r="C16" s="145" t="s">
        <v>544</v>
      </c>
      <c r="D16" s="171">
        <v>5.814449999999999</v>
      </c>
      <c r="E16" s="171">
        <v>0.5</v>
      </c>
      <c r="F16" s="171">
        <f t="shared" si="1"/>
        <v>2.9072249999999995</v>
      </c>
    </row>
    <row r="17" spans="1:6">
      <c r="A17" s="513"/>
      <c r="B17" s="516"/>
      <c r="C17" s="145" t="s">
        <v>545</v>
      </c>
      <c r="D17" s="171">
        <v>6.6174499999999998</v>
      </c>
      <c r="E17" s="171">
        <v>0.5</v>
      </c>
      <c r="F17" s="171">
        <f t="shared" si="1"/>
        <v>3.3087249999999999</v>
      </c>
    </row>
    <row r="18" spans="1:6">
      <c r="A18" s="513"/>
      <c r="B18" s="516"/>
      <c r="C18" s="145" t="s">
        <v>546</v>
      </c>
      <c r="D18" s="171">
        <v>1.9637</v>
      </c>
      <c r="E18" s="171">
        <v>0.3</v>
      </c>
      <c r="F18" s="171">
        <f t="shared" si="1"/>
        <v>0.58911000000000002</v>
      </c>
    </row>
    <row r="19" spans="1:6">
      <c r="A19" s="513"/>
      <c r="B19" s="516"/>
      <c r="C19" s="520" t="s">
        <v>547</v>
      </c>
      <c r="D19" s="521"/>
      <c r="E19" s="521"/>
      <c r="F19" s="174">
        <f>SUM(F13:F18)</f>
        <v>46.681660000000001</v>
      </c>
    </row>
    <row r="20" spans="1:6" ht="15.75">
      <c r="A20" s="513"/>
      <c r="B20" s="516"/>
      <c r="C20" s="151" t="s">
        <v>548</v>
      </c>
      <c r="D20" s="150"/>
      <c r="E20" s="150"/>
      <c r="F20" s="171"/>
    </row>
    <row r="21" spans="1:6">
      <c r="A21" s="513"/>
      <c r="B21" s="516"/>
      <c r="C21" s="149" t="s">
        <v>549</v>
      </c>
      <c r="D21" s="171">
        <v>0.57635819101888086</v>
      </c>
      <c r="E21" s="172">
        <v>0.3</v>
      </c>
      <c r="F21" s="171">
        <v>0.17290745730566426</v>
      </c>
    </row>
    <row r="22" spans="1:6">
      <c r="A22" s="513"/>
      <c r="B22" s="516"/>
      <c r="C22" s="149" t="s">
        <v>550</v>
      </c>
      <c r="D22" s="171">
        <v>2.1399481668310938</v>
      </c>
      <c r="E22" s="172">
        <v>0.3</v>
      </c>
      <c r="F22" s="171">
        <v>0.64198445004932814</v>
      </c>
    </row>
    <row r="23" spans="1:6">
      <c r="A23" s="513"/>
      <c r="B23" s="516"/>
      <c r="C23" s="149" t="s">
        <v>551</v>
      </c>
      <c r="D23" s="171">
        <v>1.1491675284912404</v>
      </c>
      <c r="E23" s="172">
        <v>0.3</v>
      </c>
      <c r="F23" s="171">
        <v>0.34475025854737212</v>
      </c>
    </row>
    <row r="24" spans="1:6">
      <c r="A24" s="513"/>
      <c r="B24" s="516"/>
      <c r="C24" s="520" t="s">
        <v>547</v>
      </c>
      <c r="D24" s="521"/>
      <c r="E24" s="521"/>
      <c r="F24" s="174">
        <f>SUM(F21:F23)</f>
        <v>1.1596421659023646</v>
      </c>
    </row>
    <row r="25" spans="1:6" ht="32.450000000000003" customHeight="1">
      <c r="A25" s="514"/>
      <c r="B25" s="517"/>
      <c r="C25" s="522" t="s">
        <v>552</v>
      </c>
      <c r="D25" s="523"/>
      <c r="E25" s="524"/>
      <c r="F25" s="175">
        <f>F24+F19+F11</f>
        <v>53.507489165902363</v>
      </c>
    </row>
    <row r="26" spans="1:6" ht="33" customHeight="1">
      <c r="A26" s="509" t="s">
        <v>553</v>
      </c>
      <c r="B26" s="509"/>
      <c r="C26" s="509"/>
      <c r="D26" s="509"/>
      <c r="E26" s="509"/>
      <c r="F26" s="509"/>
    </row>
  </sheetData>
  <mergeCells count="9">
    <mergeCell ref="A26:F26"/>
    <mergeCell ref="A1:F1"/>
    <mergeCell ref="A3:A25"/>
    <mergeCell ref="B3:B25"/>
    <mergeCell ref="C3:F3"/>
    <mergeCell ref="C11:E11"/>
    <mergeCell ref="C19:E19"/>
    <mergeCell ref="C24:E24"/>
    <mergeCell ref="C25:E25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8"/>
  <sheetViews>
    <sheetView view="pageBreakPreview" zoomScale="85" zoomScaleNormal="70" zoomScaleSheetLayoutView="85" workbookViewId="0">
      <pane xSplit="1" ySplit="3" topLeftCell="B25" activePane="bottomRight" state="frozen"/>
      <selection pane="topRight" activeCell="B1" sqref="B1"/>
      <selection pane="bottomLeft" activeCell="A6" sqref="A6"/>
      <selection pane="bottomRight" activeCell="D47" sqref="D47"/>
    </sheetView>
  </sheetViews>
  <sheetFormatPr defaultRowHeight="15"/>
  <cols>
    <col min="1" max="1" width="6.5703125" style="403" bestFit="1" customWidth="1"/>
    <col min="2" max="2" width="10.85546875" style="397" bestFit="1" customWidth="1"/>
    <col min="3" max="3" width="11.42578125" style="397" bestFit="1" customWidth="1"/>
    <col min="4" max="4" width="10.7109375" style="397" bestFit="1" customWidth="1"/>
    <col min="5" max="5" width="15.5703125" style="397" bestFit="1" customWidth="1"/>
    <col min="6" max="6" width="10.7109375" style="397" bestFit="1" customWidth="1"/>
    <col min="7" max="9" width="11.7109375" style="397" bestFit="1" customWidth="1"/>
    <col min="10" max="10" width="14" style="397" bestFit="1" customWidth="1"/>
    <col min="11" max="11" width="11.7109375" style="397" bestFit="1" customWidth="1"/>
    <col min="12" max="12" width="10.7109375" style="397" bestFit="1" customWidth="1"/>
    <col min="13" max="13" width="13.42578125" style="397" bestFit="1" customWidth="1"/>
    <col min="14" max="14" width="11.7109375" style="397" bestFit="1" customWidth="1"/>
    <col min="15" max="15" width="10.7109375" style="397" bestFit="1" customWidth="1"/>
    <col min="16" max="16" width="11.7109375" style="397" bestFit="1" customWidth="1"/>
    <col min="17" max="17" width="11.85546875" style="397" bestFit="1" customWidth="1"/>
    <col min="18" max="20" width="11.7109375" style="397" bestFit="1" customWidth="1"/>
    <col min="21" max="21" width="10.7109375" style="397" bestFit="1" customWidth="1"/>
    <col min="22" max="22" width="11.7109375" style="397" bestFit="1" customWidth="1"/>
    <col min="23" max="23" width="15.28515625" style="397" bestFit="1" customWidth="1"/>
    <col min="24" max="28" width="11.7109375" style="397" bestFit="1" customWidth="1"/>
    <col min="29" max="29" width="12" style="397" bestFit="1" customWidth="1"/>
    <col min="30" max="30" width="12.7109375" style="397" bestFit="1" customWidth="1"/>
    <col min="31" max="31" width="11.7109375" style="397" bestFit="1" customWidth="1"/>
    <col min="32" max="32" width="10.7109375" style="397" bestFit="1" customWidth="1"/>
    <col min="33" max="33" width="13.7109375" style="397" bestFit="1" customWidth="1"/>
    <col min="34" max="37" width="11.7109375" style="397" bestFit="1" customWidth="1"/>
    <col min="38" max="38" width="12.140625" style="397" bestFit="1" customWidth="1"/>
    <col min="39" max="42" width="11.7109375" style="397" bestFit="1" customWidth="1"/>
    <col min="43" max="43" width="11.85546875" style="397" bestFit="1" customWidth="1"/>
    <col min="44" max="44" width="12.28515625" style="397" bestFit="1" customWidth="1"/>
    <col min="45" max="46" width="11.7109375" style="397" bestFit="1" customWidth="1"/>
    <col min="47" max="47" width="7.7109375" style="397" bestFit="1" customWidth="1"/>
    <col min="48" max="49" width="9.140625" style="397" customWidth="1"/>
    <col min="50" max="16384" width="9.140625" style="397"/>
  </cols>
  <sheetData>
    <row r="1" spans="1:47" s="393" customFormat="1" ht="23.25" customHeight="1">
      <c r="A1" s="527" t="s">
        <v>610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 t="s">
        <v>610</v>
      </c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 t="s">
        <v>610</v>
      </c>
      <c r="AG1" s="527"/>
      <c r="AH1" s="527"/>
      <c r="AI1" s="527"/>
      <c r="AJ1" s="527"/>
      <c r="AK1" s="527"/>
      <c r="AL1" s="527"/>
      <c r="AM1" s="527"/>
      <c r="AN1" s="527"/>
      <c r="AO1" s="527"/>
      <c r="AP1" s="527"/>
      <c r="AQ1" s="527"/>
      <c r="AR1" s="527"/>
      <c r="AS1" s="527"/>
      <c r="AT1" s="527"/>
      <c r="AU1" s="527"/>
    </row>
    <row r="2" spans="1:47">
      <c r="A2" s="394" t="s">
        <v>56</v>
      </c>
      <c r="B2" s="394" t="s">
        <v>121</v>
      </c>
      <c r="C2" s="394" t="s">
        <v>122</v>
      </c>
      <c r="D2" s="394" t="s">
        <v>40</v>
      </c>
      <c r="E2" s="394" t="s">
        <v>34</v>
      </c>
      <c r="F2" s="394" t="s">
        <v>11</v>
      </c>
      <c r="G2" s="394" t="s">
        <v>31</v>
      </c>
      <c r="H2" s="394" t="s">
        <v>37</v>
      </c>
      <c r="I2" s="394" t="s">
        <v>123</v>
      </c>
      <c r="J2" s="394" t="s">
        <v>124</v>
      </c>
      <c r="K2" s="394" t="s">
        <v>19</v>
      </c>
      <c r="L2" s="394" t="s">
        <v>125</v>
      </c>
      <c r="M2" s="394" t="s">
        <v>126</v>
      </c>
      <c r="N2" s="394" t="s">
        <v>27</v>
      </c>
      <c r="O2" s="394" t="s">
        <v>127</v>
      </c>
      <c r="P2" s="394" t="s">
        <v>128</v>
      </c>
      <c r="Q2" s="394" t="s">
        <v>129</v>
      </c>
      <c r="R2" s="394" t="s">
        <v>42</v>
      </c>
      <c r="S2" s="394" t="s">
        <v>130</v>
      </c>
      <c r="T2" s="394" t="s">
        <v>131</v>
      </c>
      <c r="U2" s="394" t="s">
        <v>119</v>
      </c>
      <c r="V2" s="394" t="s">
        <v>55</v>
      </c>
      <c r="W2" s="394" t="s">
        <v>132</v>
      </c>
      <c r="X2" s="394" t="s">
        <v>23</v>
      </c>
      <c r="Y2" s="394" t="s">
        <v>36</v>
      </c>
      <c r="Z2" s="394" t="s">
        <v>14</v>
      </c>
      <c r="AA2" s="394" t="s">
        <v>133</v>
      </c>
      <c r="AB2" s="394" t="s">
        <v>1</v>
      </c>
      <c r="AC2" s="394" t="s">
        <v>13</v>
      </c>
      <c r="AD2" s="394" t="s">
        <v>16</v>
      </c>
      <c r="AE2" s="394" t="s">
        <v>26</v>
      </c>
      <c r="AF2" s="394" t="s">
        <v>134</v>
      </c>
      <c r="AG2" s="394" t="s">
        <v>2</v>
      </c>
      <c r="AH2" s="394" t="s">
        <v>39</v>
      </c>
      <c r="AI2" s="394" t="s">
        <v>25</v>
      </c>
      <c r="AJ2" s="394" t="s">
        <v>41</v>
      </c>
      <c r="AK2" s="395" t="s">
        <v>30</v>
      </c>
      <c r="AL2" s="395" t="s">
        <v>135</v>
      </c>
      <c r="AM2" s="395" t="s">
        <v>6</v>
      </c>
      <c r="AN2" s="395" t="s">
        <v>3</v>
      </c>
      <c r="AO2" s="395" t="s">
        <v>8</v>
      </c>
      <c r="AP2" s="395" t="s">
        <v>4</v>
      </c>
      <c r="AQ2" s="395" t="s">
        <v>29</v>
      </c>
      <c r="AR2" s="395" t="s">
        <v>28</v>
      </c>
      <c r="AS2" s="395" t="s">
        <v>17</v>
      </c>
      <c r="AT2" s="396" t="s">
        <v>136</v>
      </c>
      <c r="AU2" s="394" t="s">
        <v>44</v>
      </c>
    </row>
    <row r="3" spans="1:47">
      <c r="A3" s="394"/>
      <c r="B3" s="394"/>
      <c r="C3" s="394"/>
      <c r="D3" s="394">
        <v>1</v>
      </c>
      <c r="E3" s="394">
        <v>2</v>
      </c>
      <c r="F3" s="394">
        <v>3</v>
      </c>
      <c r="G3" s="394">
        <v>4</v>
      </c>
      <c r="H3" s="394">
        <v>5</v>
      </c>
      <c r="I3" s="394">
        <v>6</v>
      </c>
      <c r="J3" s="394">
        <v>7</v>
      </c>
      <c r="K3" s="394">
        <v>8</v>
      </c>
      <c r="L3" s="394">
        <v>9</v>
      </c>
      <c r="M3" s="394">
        <v>10</v>
      </c>
      <c r="N3" s="394">
        <v>11</v>
      </c>
      <c r="O3" s="394">
        <v>12</v>
      </c>
      <c r="P3" s="394">
        <v>13</v>
      </c>
      <c r="Q3" s="394">
        <v>14</v>
      </c>
      <c r="R3" s="394">
        <v>15</v>
      </c>
      <c r="S3" s="394">
        <v>16</v>
      </c>
      <c r="T3" s="394">
        <v>17</v>
      </c>
      <c r="U3" s="394">
        <v>18</v>
      </c>
      <c r="V3" s="394">
        <v>19</v>
      </c>
      <c r="W3" s="394">
        <v>20</v>
      </c>
      <c r="X3" s="394">
        <v>21</v>
      </c>
      <c r="Y3" s="394">
        <v>22</v>
      </c>
      <c r="Z3" s="394">
        <v>23</v>
      </c>
      <c r="AA3" s="394">
        <v>24</v>
      </c>
      <c r="AB3" s="394">
        <v>25</v>
      </c>
      <c r="AC3" s="394">
        <v>26</v>
      </c>
      <c r="AD3" s="394">
        <v>27</v>
      </c>
      <c r="AE3" s="394">
        <v>28</v>
      </c>
      <c r="AF3" s="394">
        <v>29</v>
      </c>
      <c r="AG3" s="394">
        <v>30</v>
      </c>
      <c r="AH3" s="394">
        <v>31</v>
      </c>
      <c r="AI3" s="394">
        <v>32</v>
      </c>
      <c r="AJ3" s="394">
        <v>33</v>
      </c>
      <c r="AK3" s="394">
        <v>34</v>
      </c>
      <c r="AL3" s="394">
        <v>35</v>
      </c>
      <c r="AM3" s="394">
        <v>36</v>
      </c>
      <c r="AN3" s="394">
        <v>37</v>
      </c>
      <c r="AO3" s="394">
        <v>38</v>
      </c>
      <c r="AP3" s="394">
        <v>39</v>
      </c>
      <c r="AQ3" s="394">
        <v>40</v>
      </c>
      <c r="AR3" s="394">
        <v>41</v>
      </c>
      <c r="AS3" s="394">
        <v>42</v>
      </c>
      <c r="AT3" s="394">
        <v>43</v>
      </c>
      <c r="AU3" s="394"/>
    </row>
    <row r="4" spans="1:47" s="399" customFormat="1" ht="14.25">
      <c r="A4" s="394" t="s">
        <v>137</v>
      </c>
      <c r="B4" s="398" t="s">
        <v>138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98"/>
      <c r="Y4" s="398"/>
      <c r="Z4" s="398"/>
      <c r="AA4" s="398"/>
      <c r="AB4" s="398"/>
      <c r="AC4" s="398"/>
      <c r="AD4" s="398"/>
      <c r="AE4" s="398"/>
      <c r="AF4" s="398"/>
      <c r="AG4" s="398"/>
      <c r="AH4" s="398"/>
      <c r="AI4" s="398"/>
      <c r="AJ4" s="398"/>
      <c r="AK4" s="398"/>
      <c r="AL4" s="398"/>
      <c r="AM4" s="398"/>
      <c r="AN4" s="398"/>
      <c r="AO4" s="398"/>
      <c r="AP4" s="398"/>
      <c r="AQ4" s="398"/>
      <c r="AR4" s="398"/>
      <c r="AS4" s="398"/>
      <c r="AT4" s="398"/>
      <c r="AU4" s="398"/>
    </row>
    <row r="5" spans="1:47">
      <c r="A5" s="525">
        <v>1</v>
      </c>
      <c r="B5" s="525" t="s">
        <v>139</v>
      </c>
      <c r="C5" s="400" t="s">
        <v>140</v>
      </c>
      <c r="D5" s="405">
        <v>383.11812000000003</v>
      </c>
      <c r="E5" s="405">
        <v>301.62299999999999</v>
      </c>
      <c r="F5" s="405">
        <v>176.42099999999999</v>
      </c>
      <c r="G5" s="405">
        <v>940.24425599999995</v>
      </c>
      <c r="H5" s="405">
        <v>370.48410000000001</v>
      </c>
      <c r="I5" s="405">
        <v>42.682499999999997</v>
      </c>
      <c r="J5" s="405">
        <v>16.902269999999998</v>
      </c>
      <c r="K5" s="405">
        <v>7.3869179999999997</v>
      </c>
      <c r="L5" s="405">
        <v>9.33324</v>
      </c>
      <c r="M5" s="405">
        <v>1.1381999999999999</v>
      </c>
      <c r="N5" s="405">
        <v>4.6097100000000006</v>
      </c>
      <c r="O5" s="405">
        <v>51.890537999999992</v>
      </c>
      <c r="P5" s="405">
        <v>8.5592639999999989</v>
      </c>
      <c r="Q5" s="405">
        <v>0</v>
      </c>
      <c r="R5" s="405">
        <v>16.003091999999999</v>
      </c>
      <c r="S5" s="405">
        <v>2.3219279999999998</v>
      </c>
      <c r="T5" s="405">
        <v>8.6047919999999998</v>
      </c>
      <c r="U5" s="405">
        <v>7.1023680000000002</v>
      </c>
      <c r="V5" s="405">
        <v>2.0032320000000001</v>
      </c>
      <c r="W5" s="405">
        <v>0</v>
      </c>
      <c r="X5" s="405">
        <v>0.44389800000000001</v>
      </c>
      <c r="Y5" s="405">
        <v>0</v>
      </c>
      <c r="Z5" s="405">
        <v>0</v>
      </c>
      <c r="AA5" s="405">
        <v>1.9121760000000001</v>
      </c>
      <c r="AB5" s="405">
        <v>10.266563999999999</v>
      </c>
      <c r="AC5" s="405">
        <v>238.22526000000002</v>
      </c>
      <c r="AD5" s="405">
        <v>31.869599999999998</v>
      </c>
      <c r="AE5" s="405">
        <v>46.848311999999993</v>
      </c>
      <c r="AF5" s="405">
        <v>1.0243800000000001</v>
      </c>
      <c r="AG5" s="405">
        <v>0</v>
      </c>
      <c r="AH5" s="405">
        <v>0</v>
      </c>
      <c r="AI5" s="405">
        <v>0</v>
      </c>
      <c r="AJ5" s="405">
        <v>0</v>
      </c>
      <c r="AK5" s="405">
        <v>113.82</v>
      </c>
      <c r="AL5" s="405">
        <v>67.609080000000006</v>
      </c>
      <c r="AM5" s="405">
        <v>418.85759999999999</v>
      </c>
      <c r="AN5" s="405">
        <v>55.487250000000003</v>
      </c>
      <c r="AO5" s="405">
        <v>55.316520000000004</v>
      </c>
      <c r="AP5" s="405">
        <v>338.72831999999994</v>
      </c>
      <c r="AQ5" s="405">
        <v>117.91752</v>
      </c>
      <c r="AR5" s="405">
        <v>25.614000000000001</v>
      </c>
      <c r="AS5" s="405">
        <v>633.86111999999991</v>
      </c>
      <c r="AT5" s="405">
        <v>168.36936</v>
      </c>
      <c r="AU5" s="402">
        <v>4676.5994879999998</v>
      </c>
    </row>
    <row r="6" spans="1:47" ht="30">
      <c r="A6" s="525"/>
      <c r="B6" s="525"/>
      <c r="C6" s="400" t="s">
        <v>611</v>
      </c>
      <c r="D6" s="405">
        <v>134.63999999999999</v>
      </c>
      <c r="E6" s="405">
        <v>106</v>
      </c>
      <c r="F6" s="405">
        <v>62</v>
      </c>
      <c r="G6" s="405">
        <v>330.43200000000002</v>
      </c>
      <c r="H6" s="405">
        <v>130.19999999999999</v>
      </c>
      <c r="I6" s="405">
        <v>13.125</v>
      </c>
      <c r="J6" s="405">
        <v>5.4945000000000004</v>
      </c>
      <c r="K6" s="405">
        <v>5.0621999999999998</v>
      </c>
      <c r="L6" s="405">
        <v>9.84</v>
      </c>
      <c r="M6" s="405">
        <v>0.95</v>
      </c>
      <c r="N6" s="405">
        <v>8.1000000000000014</v>
      </c>
      <c r="O6" s="405">
        <v>45.589999999999989</v>
      </c>
      <c r="P6" s="405">
        <v>7.52</v>
      </c>
      <c r="Q6" s="405">
        <v>0</v>
      </c>
      <c r="R6" s="405">
        <v>14.06</v>
      </c>
      <c r="S6" s="405">
        <v>2.1419999999999999</v>
      </c>
      <c r="T6" s="405">
        <v>8.3160000000000007</v>
      </c>
      <c r="U6" s="405">
        <v>6.8639999999999999</v>
      </c>
      <c r="V6" s="405">
        <v>1.232</v>
      </c>
      <c r="W6" s="405">
        <v>0</v>
      </c>
      <c r="X6" s="405">
        <v>0.35099999999999998</v>
      </c>
      <c r="Y6" s="405">
        <v>0</v>
      </c>
      <c r="Z6" s="405">
        <v>0</v>
      </c>
      <c r="AA6" s="405">
        <v>1.6800000000000002</v>
      </c>
      <c r="AB6" s="405">
        <v>9.02</v>
      </c>
      <c r="AC6" s="405">
        <v>251.16</v>
      </c>
      <c r="AD6" s="405">
        <v>28</v>
      </c>
      <c r="AE6" s="405">
        <v>37.043999999999997</v>
      </c>
      <c r="AF6" s="405">
        <v>0.72</v>
      </c>
      <c r="AG6" s="405">
        <v>0</v>
      </c>
      <c r="AH6" s="405">
        <v>0</v>
      </c>
      <c r="AI6" s="405">
        <v>0</v>
      </c>
      <c r="AJ6" s="405">
        <v>0</v>
      </c>
      <c r="AK6" s="405">
        <v>69.5</v>
      </c>
      <c r="AL6" s="405">
        <v>43.243200000000002</v>
      </c>
      <c r="AM6" s="405">
        <v>145.36000000000001</v>
      </c>
      <c r="AN6" s="405">
        <v>33.344999999999999</v>
      </c>
      <c r="AO6" s="405">
        <v>33.048000000000002</v>
      </c>
      <c r="AP6" s="405">
        <v>206.83199999999997</v>
      </c>
      <c r="AQ6" s="405">
        <v>73.555999999999997</v>
      </c>
      <c r="AR6" s="405">
        <v>8.8874999999999993</v>
      </c>
      <c r="AS6" s="405">
        <v>219.93599999999998</v>
      </c>
      <c r="AT6" s="405">
        <v>58.420499999999997</v>
      </c>
      <c r="AU6" s="402">
        <v>2111.6709000000005</v>
      </c>
    </row>
    <row r="7" spans="1:47" ht="30">
      <c r="A7" s="525"/>
      <c r="B7" s="525"/>
      <c r="C7" s="400" t="s">
        <v>612</v>
      </c>
      <c r="D7" s="405">
        <v>400</v>
      </c>
      <c r="E7" s="405">
        <v>400</v>
      </c>
      <c r="F7" s="405">
        <v>400</v>
      </c>
      <c r="G7" s="405">
        <v>400</v>
      </c>
      <c r="H7" s="405">
        <v>400</v>
      </c>
      <c r="I7" s="405">
        <v>350</v>
      </c>
      <c r="J7" s="405">
        <v>370</v>
      </c>
      <c r="K7" s="405">
        <v>780</v>
      </c>
      <c r="L7" s="405">
        <v>1200</v>
      </c>
      <c r="M7" s="405">
        <v>950</v>
      </c>
      <c r="N7" s="405">
        <v>2000</v>
      </c>
      <c r="O7" s="405">
        <v>1000</v>
      </c>
      <c r="P7" s="405">
        <v>1000</v>
      </c>
      <c r="Q7" s="405">
        <v>0</v>
      </c>
      <c r="R7" s="405">
        <v>1000</v>
      </c>
      <c r="S7" s="405">
        <v>1050</v>
      </c>
      <c r="T7" s="405">
        <v>1100</v>
      </c>
      <c r="U7" s="405">
        <v>1100</v>
      </c>
      <c r="V7" s="405">
        <v>700</v>
      </c>
      <c r="W7" s="405">
        <v>0</v>
      </c>
      <c r="X7" s="405">
        <v>900</v>
      </c>
      <c r="Y7" s="405">
        <v>0</v>
      </c>
      <c r="Z7" s="405">
        <v>0</v>
      </c>
      <c r="AA7" s="405">
        <v>1000</v>
      </c>
      <c r="AB7" s="405">
        <v>1000</v>
      </c>
      <c r="AC7" s="405">
        <v>1200</v>
      </c>
      <c r="AD7" s="405">
        <v>1000</v>
      </c>
      <c r="AE7" s="405">
        <v>900</v>
      </c>
      <c r="AF7" s="405">
        <v>800</v>
      </c>
      <c r="AG7" s="405">
        <v>0</v>
      </c>
      <c r="AH7" s="405">
        <v>0</v>
      </c>
      <c r="AI7" s="405">
        <v>0</v>
      </c>
      <c r="AJ7" s="405">
        <v>0</v>
      </c>
      <c r="AK7" s="405">
        <v>695</v>
      </c>
      <c r="AL7" s="405">
        <v>728</v>
      </c>
      <c r="AM7" s="405">
        <v>395</v>
      </c>
      <c r="AN7" s="405">
        <v>684</v>
      </c>
      <c r="AO7" s="405">
        <v>680</v>
      </c>
      <c r="AP7" s="405">
        <v>695</v>
      </c>
      <c r="AQ7" s="405">
        <v>710</v>
      </c>
      <c r="AR7" s="405">
        <v>395</v>
      </c>
      <c r="AS7" s="405">
        <v>395</v>
      </c>
      <c r="AT7" s="405">
        <v>395</v>
      </c>
      <c r="AU7" s="402">
        <v>27172</v>
      </c>
    </row>
    <row r="8" spans="1:47">
      <c r="A8" s="525">
        <v>2</v>
      </c>
      <c r="B8" s="525" t="s">
        <v>141</v>
      </c>
      <c r="C8" s="400" t="s">
        <v>140</v>
      </c>
      <c r="D8" s="405">
        <v>35.051940000000002</v>
      </c>
      <c r="E8" s="405">
        <v>67.018500000000003</v>
      </c>
      <c r="F8" s="405">
        <v>18.967500000000001</v>
      </c>
      <c r="G8" s="405">
        <v>153.56088</v>
      </c>
      <c r="H8" s="405">
        <v>250.8768</v>
      </c>
      <c r="I8" s="405">
        <v>41.728499999999997</v>
      </c>
      <c r="J8" s="405">
        <v>29.020274999999998</v>
      </c>
      <c r="K8" s="405">
        <v>146.22677999999999</v>
      </c>
      <c r="L8" s="405">
        <v>80.877420000000001</v>
      </c>
      <c r="M8" s="405">
        <v>130.24350000000001</v>
      </c>
      <c r="N8" s="405">
        <v>366.67971</v>
      </c>
      <c r="O8" s="405">
        <v>377.78201999999999</v>
      </c>
      <c r="P8" s="405">
        <v>82.015469999999993</v>
      </c>
      <c r="Q8" s="405">
        <v>87.781589999999994</v>
      </c>
      <c r="R8" s="405">
        <v>75.920580000000001</v>
      </c>
      <c r="S8" s="405">
        <v>196.90794</v>
      </c>
      <c r="T8" s="405">
        <v>158.26481999999999</v>
      </c>
      <c r="U8" s="405">
        <v>71.671859999999995</v>
      </c>
      <c r="V8" s="405">
        <v>53.690669999999997</v>
      </c>
      <c r="W8" s="405">
        <v>55.890900000000002</v>
      </c>
      <c r="X8" s="405">
        <v>34.027695000000001</v>
      </c>
      <c r="Y8" s="405">
        <v>55.764450000000004</v>
      </c>
      <c r="Z8" s="405">
        <v>21.04128</v>
      </c>
      <c r="AA8" s="405">
        <v>85.682520000000011</v>
      </c>
      <c r="AB8" s="405">
        <v>77.766749999999988</v>
      </c>
      <c r="AC8" s="405">
        <v>257.97064500000005</v>
      </c>
      <c r="AD8" s="405">
        <v>233.9325</v>
      </c>
      <c r="AE8" s="405">
        <v>172.07315999999997</v>
      </c>
      <c r="AF8" s="405">
        <v>5.8799250000000001</v>
      </c>
      <c r="AG8" s="405">
        <v>153.32062500000001</v>
      </c>
      <c r="AH8" s="405">
        <v>3.23712</v>
      </c>
      <c r="AI8" s="405">
        <v>1.6944300000000001</v>
      </c>
      <c r="AJ8" s="405">
        <v>12.708225000000001</v>
      </c>
      <c r="AK8" s="405">
        <v>343.94400000000002</v>
      </c>
      <c r="AL8" s="405">
        <v>45.066780000000001</v>
      </c>
      <c r="AM8" s="405">
        <v>121.392</v>
      </c>
      <c r="AN8" s="405">
        <v>104.32125000000001</v>
      </c>
      <c r="AO8" s="405">
        <v>122.90940000000001</v>
      </c>
      <c r="AP8" s="405">
        <v>139.60079999999999</v>
      </c>
      <c r="AQ8" s="405">
        <v>79.537049999999994</v>
      </c>
      <c r="AR8" s="405">
        <v>22.760999999999999</v>
      </c>
      <c r="AS8" s="405">
        <v>78.904799999999994</v>
      </c>
      <c r="AT8" s="405">
        <v>38.504024999999999</v>
      </c>
      <c r="AU8" s="402">
        <v>4692.2180849999995</v>
      </c>
    </row>
    <row r="9" spans="1:47" ht="30">
      <c r="A9" s="525"/>
      <c r="B9" s="525"/>
      <c r="C9" s="400" t="s">
        <v>611</v>
      </c>
      <c r="D9" s="405">
        <v>13.915439999999998</v>
      </c>
      <c r="E9" s="405">
        <v>26.606000000000002</v>
      </c>
      <c r="F9" s="405">
        <v>7.53</v>
      </c>
      <c r="G9" s="405">
        <v>60.962879999999998</v>
      </c>
      <c r="H9" s="405">
        <v>99.596800000000002</v>
      </c>
      <c r="I9" s="405">
        <v>14.85</v>
      </c>
      <c r="J9" s="405">
        <v>10.098000000000001</v>
      </c>
      <c r="K9" s="405">
        <v>254.40799999999999</v>
      </c>
      <c r="L9" s="405">
        <v>140.71199999999999</v>
      </c>
      <c r="M9" s="405">
        <v>257.5</v>
      </c>
      <c r="N9" s="405">
        <v>579.96</v>
      </c>
      <c r="O9" s="405">
        <v>657.27200000000005</v>
      </c>
      <c r="P9" s="405">
        <v>149.178</v>
      </c>
      <c r="Q9" s="405">
        <v>173.55</v>
      </c>
      <c r="R9" s="405">
        <v>144.096</v>
      </c>
      <c r="S9" s="405">
        <v>373.72800000000001</v>
      </c>
      <c r="T9" s="405">
        <v>312.89999999999998</v>
      </c>
      <c r="U9" s="405">
        <v>130.364</v>
      </c>
      <c r="V9" s="405">
        <v>101.904</v>
      </c>
      <c r="W9" s="405">
        <v>97.24</v>
      </c>
      <c r="X9" s="405">
        <v>64.584000000000003</v>
      </c>
      <c r="Y9" s="405">
        <v>92.61</v>
      </c>
      <c r="Z9" s="405">
        <v>38.271999999999998</v>
      </c>
      <c r="AA9" s="405">
        <v>155.84800000000001</v>
      </c>
      <c r="AB9" s="405">
        <v>135.29999999999998</v>
      </c>
      <c r="AC9" s="405">
        <v>408.02000000000004</v>
      </c>
      <c r="AD9" s="405">
        <v>425.5</v>
      </c>
      <c r="AE9" s="405">
        <v>299.37599999999992</v>
      </c>
      <c r="AF9" s="405">
        <v>11.16</v>
      </c>
      <c r="AG9" s="405">
        <v>278.875</v>
      </c>
      <c r="AH9" s="405">
        <v>5.6319999999999997</v>
      </c>
      <c r="AI9" s="405">
        <v>2.948</v>
      </c>
      <c r="AJ9" s="405">
        <v>22.11</v>
      </c>
      <c r="AK9" s="405">
        <v>341.36</v>
      </c>
      <c r="AL9" s="405">
        <v>42.768000000000001</v>
      </c>
      <c r="AM9" s="405">
        <v>115.968</v>
      </c>
      <c r="AN9" s="405">
        <v>95.864999999999995</v>
      </c>
      <c r="AO9" s="405">
        <v>112.752</v>
      </c>
      <c r="AP9" s="405">
        <v>129.16799999999998</v>
      </c>
      <c r="AQ9" s="405">
        <v>78.939499999999995</v>
      </c>
      <c r="AR9" s="405">
        <v>22.5</v>
      </c>
      <c r="AS9" s="405">
        <v>78.936000000000007</v>
      </c>
      <c r="AT9" s="405">
        <v>38.51925</v>
      </c>
      <c r="AU9" s="402">
        <v>6603.3818700000002</v>
      </c>
    </row>
    <row r="10" spans="1:47" ht="30">
      <c r="A10" s="525"/>
      <c r="B10" s="525"/>
      <c r="C10" s="400" t="s">
        <v>612</v>
      </c>
      <c r="D10" s="405">
        <v>502</v>
      </c>
      <c r="E10" s="405">
        <v>502</v>
      </c>
      <c r="F10" s="405">
        <v>502</v>
      </c>
      <c r="G10" s="405">
        <v>502</v>
      </c>
      <c r="H10" s="405">
        <v>502</v>
      </c>
      <c r="I10" s="405">
        <v>450</v>
      </c>
      <c r="J10" s="405">
        <v>440</v>
      </c>
      <c r="K10" s="405">
        <v>2200</v>
      </c>
      <c r="L10" s="405">
        <v>2200</v>
      </c>
      <c r="M10" s="405">
        <v>2500</v>
      </c>
      <c r="N10" s="405">
        <v>2000</v>
      </c>
      <c r="O10" s="405">
        <v>2200</v>
      </c>
      <c r="P10" s="405">
        <v>2300</v>
      </c>
      <c r="Q10" s="405">
        <v>2500</v>
      </c>
      <c r="R10" s="405">
        <v>2400</v>
      </c>
      <c r="S10" s="405">
        <v>2400</v>
      </c>
      <c r="T10" s="405">
        <v>2500</v>
      </c>
      <c r="U10" s="405">
        <v>2300</v>
      </c>
      <c r="V10" s="405">
        <v>2400</v>
      </c>
      <c r="W10" s="405">
        <v>2200</v>
      </c>
      <c r="X10" s="405">
        <v>2400</v>
      </c>
      <c r="Y10" s="405">
        <v>2100</v>
      </c>
      <c r="Z10" s="405">
        <v>2300</v>
      </c>
      <c r="AA10" s="405">
        <v>2300</v>
      </c>
      <c r="AB10" s="405">
        <v>2200</v>
      </c>
      <c r="AC10" s="405">
        <v>2000</v>
      </c>
      <c r="AD10" s="405">
        <v>2300</v>
      </c>
      <c r="AE10" s="405">
        <v>2200</v>
      </c>
      <c r="AF10" s="405">
        <v>2400</v>
      </c>
      <c r="AG10" s="405">
        <v>2300</v>
      </c>
      <c r="AH10" s="405">
        <v>2200</v>
      </c>
      <c r="AI10" s="405">
        <v>2200</v>
      </c>
      <c r="AJ10" s="405">
        <v>2200</v>
      </c>
      <c r="AK10" s="405">
        <v>1255</v>
      </c>
      <c r="AL10" s="405">
        <v>1200</v>
      </c>
      <c r="AM10" s="405">
        <v>1208</v>
      </c>
      <c r="AN10" s="405">
        <v>1162</v>
      </c>
      <c r="AO10" s="405">
        <v>1160</v>
      </c>
      <c r="AP10" s="405">
        <v>1170</v>
      </c>
      <c r="AQ10" s="405">
        <v>1255</v>
      </c>
      <c r="AR10" s="405">
        <v>1250</v>
      </c>
      <c r="AS10" s="405">
        <v>1265</v>
      </c>
      <c r="AT10" s="405">
        <v>1265</v>
      </c>
      <c r="AU10" s="402">
        <v>74790</v>
      </c>
    </row>
    <row r="11" spans="1:47">
      <c r="A11" s="525">
        <v>3</v>
      </c>
      <c r="B11" s="525" t="s">
        <v>142</v>
      </c>
      <c r="C11" s="400" t="s">
        <v>140</v>
      </c>
      <c r="D11" s="405">
        <v>226.63278000000003</v>
      </c>
      <c r="E11" s="405">
        <v>150.8192</v>
      </c>
      <c r="F11" s="405">
        <v>121.19399999999999</v>
      </c>
      <c r="G11" s="405">
        <v>140.90822399999999</v>
      </c>
      <c r="H11" s="405">
        <v>37.570139999999995</v>
      </c>
      <c r="I11" s="405">
        <v>10.099499999999999</v>
      </c>
      <c r="J11" s="405">
        <v>16.96716</v>
      </c>
      <c r="K11" s="405">
        <v>48.464134000000001</v>
      </c>
      <c r="L11" s="405">
        <v>25.396875999999999</v>
      </c>
      <c r="M11" s="405">
        <v>0</v>
      </c>
      <c r="N11" s="405">
        <v>26.177904000000002</v>
      </c>
      <c r="O11" s="405">
        <v>314.79468199999997</v>
      </c>
      <c r="P11" s="405">
        <v>31.645099999999999</v>
      </c>
      <c r="Q11" s="405">
        <v>0</v>
      </c>
      <c r="R11" s="405">
        <v>11.257575999999998</v>
      </c>
      <c r="S11" s="405">
        <v>0</v>
      </c>
      <c r="T11" s="405">
        <v>6.7868639999999996</v>
      </c>
      <c r="U11" s="405">
        <v>0</v>
      </c>
      <c r="V11" s="405">
        <v>37.624003999999999</v>
      </c>
      <c r="W11" s="405">
        <v>50.362840000000006</v>
      </c>
      <c r="X11" s="405">
        <v>18.38109</v>
      </c>
      <c r="Y11" s="405">
        <v>47.508048000000002</v>
      </c>
      <c r="Z11" s="405">
        <v>23.269248000000001</v>
      </c>
      <c r="AA11" s="405">
        <v>8.2950559999999989</v>
      </c>
      <c r="AB11" s="405">
        <v>1.104212</v>
      </c>
      <c r="AC11" s="405">
        <v>404.49170800000002</v>
      </c>
      <c r="AD11" s="405">
        <v>75.409599999999998</v>
      </c>
      <c r="AE11" s="405">
        <v>54.294911999999997</v>
      </c>
      <c r="AF11" s="405">
        <v>1.2792700000000001</v>
      </c>
      <c r="AG11" s="405">
        <v>27.430242</v>
      </c>
      <c r="AH11" s="405">
        <v>0</v>
      </c>
      <c r="AI11" s="405">
        <v>0</v>
      </c>
      <c r="AJ11" s="405">
        <v>0</v>
      </c>
      <c r="AK11" s="405">
        <v>88.336960000000005</v>
      </c>
      <c r="AL11" s="405">
        <v>15.108852000000001</v>
      </c>
      <c r="AM11" s="405">
        <v>78.102800000000002</v>
      </c>
      <c r="AN11" s="405">
        <v>14.139299999999999</v>
      </c>
      <c r="AO11" s="405">
        <v>8.7259679999999999</v>
      </c>
      <c r="AP11" s="405">
        <v>245.61984000000001</v>
      </c>
      <c r="AQ11" s="405">
        <v>59.78904</v>
      </c>
      <c r="AR11" s="405">
        <v>3.6358200000000003</v>
      </c>
      <c r="AS11" s="405">
        <v>45.245760000000004</v>
      </c>
      <c r="AT11" s="405">
        <v>52.719389999999997</v>
      </c>
      <c r="AU11" s="402">
        <v>2529.5880999999999</v>
      </c>
    </row>
    <row r="12" spans="1:47" ht="30">
      <c r="A12" s="525"/>
      <c r="B12" s="525"/>
      <c r="C12" s="400" t="s">
        <v>611</v>
      </c>
      <c r="D12" s="405">
        <v>84.15</v>
      </c>
      <c r="E12" s="405">
        <v>56</v>
      </c>
      <c r="F12" s="405">
        <v>45</v>
      </c>
      <c r="G12" s="405">
        <v>52.32</v>
      </c>
      <c r="H12" s="405">
        <v>13.95</v>
      </c>
      <c r="I12" s="405">
        <v>3.75</v>
      </c>
      <c r="J12" s="405">
        <v>6.3</v>
      </c>
      <c r="K12" s="405">
        <v>30.231599999999993</v>
      </c>
      <c r="L12" s="405">
        <v>11.316000000000001</v>
      </c>
      <c r="M12" s="405">
        <v>0</v>
      </c>
      <c r="N12" s="405">
        <v>19.440000000000001</v>
      </c>
      <c r="O12" s="405">
        <v>280.524</v>
      </c>
      <c r="P12" s="405">
        <v>23.5</v>
      </c>
      <c r="Q12" s="405">
        <v>0</v>
      </c>
      <c r="R12" s="405">
        <v>8.36</v>
      </c>
      <c r="S12" s="405">
        <v>0</v>
      </c>
      <c r="T12" s="405">
        <v>3.78</v>
      </c>
      <c r="U12" s="405">
        <v>0</v>
      </c>
      <c r="V12" s="405">
        <v>16.763999999999999</v>
      </c>
      <c r="W12" s="405">
        <v>22.440000000000005</v>
      </c>
      <c r="X12" s="405">
        <v>10.237500000000001</v>
      </c>
      <c r="Y12" s="405">
        <v>28.224</v>
      </c>
      <c r="Z12" s="405">
        <v>12.096</v>
      </c>
      <c r="AA12" s="405">
        <v>6.7759999999999998</v>
      </c>
      <c r="AB12" s="405">
        <v>0.90200000000000002</v>
      </c>
      <c r="AC12" s="405">
        <v>330.41800000000001</v>
      </c>
      <c r="AD12" s="405">
        <v>50.4</v>
      </c>
      <c r="AE12" s="405">
        <v>36.287999999999997</v>
      </c>
      <c r="AF12" s="405">
        <v>0.95000000000000007</v>
      </c>
      <c r="AG12" s="405">
        <v>18.332999999999998</v>
      </c>
      <c r="AH12" s="405">
        <v>0</v>
      </c>
      <c r="AI12" s="405">
        <v>0</v>
      </c>
      <c r="AJ12" s="405">
        <v>0</v>
      </c>
      <c r="AK12" s="405">
        <v>31.816000000000003</v>
      </c>
      <c r="AL12" s="405">
        <v>5.4417000000000009</v>
      </c>
      <c r="AM12" s="405">
        <v>28.71</v>
      </c>
      <c r="AN12" s="405">
        <v>4.7565</v>
      </c>
      <c r="AO12" s="405">
        <v>2.9159999999999999</v>
      </c>
      <c r="AP12" s="405">
        <v>84.816000000000003</v>
      </c>
      <c r="AQ12" s="405">
        <v>19.802399999999999</v>
      </c>
      <c r="AR12" s="405">
        <v>1.296</v>
      </c>
      <c r="AS12" s="405">
        <v>16.632000000000001</v>
      </c>
      <c r="AT12" s="405">
        <v>19.809899999999999</v>
      </c>
      <c r="AU12" s="402">
        <v>1388.4466000000004</v>
      </c>
    </row>
    <row r="13" spans="1:47" ht="30">
      <c r="A13" s="525"/>
      <c r="B13" s="525"/>
      <c r="C13" s="400" t="s">
        <v>612</v>
      </c>
      <c r="D13" s="405">
        <v>500</v>
      </c>
      <c r="E13" s="405">
        <v>500</v>
      </c>
      <c r="F13" s="405">
        <v>500</v>
      </c>
      <c r="G13" s="405">
        <v>500</v>
      </c>
      <c r="H13" s="405">
        <v>500</v>
      </c>
      <c r="I13" s="405">
        <v>500</v>
      </c>
      <c r="J13" s="405">
        <v>500</v>
      </c>
      <c r="K13" s="405">
        <v>840</v>
      </c>
      <c r="L13" s="405">
        <v>600</v>
      </c>
      <c r="M13" s="405"/>
      <c r="N13" s="405">
        <v>1000</v>
      </c>
      <c r="O13" s="405">
        <v>1200</v>
      </c>
      <c r="P13" s="405">
        <v>1000</v>
      </c>
      <c r="Q13" s="405">
        <v>0</v>
      </c>
      <c r="R13" s="405">
        <v>1000</v>
      </c>
      <c r="S13" s="405">
        <v>0</v>
      </c>
      <c r="T13" s="405">
        <v>750</v>
      </c>
      <c r="U13" s="405">
        <v>0</v>
      </c>
      <c r="V13" s="405">
        <v>600</v>
      </c>
      <c r="W13" s="405">
        <v>600</v>
      </c>
      <c r="X13" s="405">
        <v>750</v>
      </c>
      <c r="Y13" s="405">
        <v>800</v>
      </c>
      <c r="Z13" s="405">
        <v>700</v>
      </c>
      <c r="AA13" s="405">
        <v>1100</v>
      </c>
      <c r="AB13" s="405">
        <v>1100</v>
      </c>
      <c r="AC13" s="405">
        <v>1100</v>
      </c>
      <c r="AD13" s="405">
        <v>900</v>
      </c>
      <c r="AE13" s="405">
        <v>900</v>
      </c>
      <c r="AF13" s="405">
        <v>1000</v>
      </c>
      <c r="AG13" s="405">
        <v>900</v>
      </c>
      <c r="AH13" s="405">
        <v>0</v>
      </c>
      <c r="AI13" s="405">
        <v>0</v>
      </c>
      <c r="AJ13" s="405">
        <v>0</v>
      </c>
      <c r="AK13" s="405">
        <v>485</v>
      </c>
      <c r="AL13" s="405">
        <v>485</v>
      </c>
      <c r="AM13" s="405">
        <v>495</v>
      </c>
      <c r="AN13" s="405">
        <v>453</v>
      </c>
      <c r="AO13" s="405">
        <v>450</v>
      </c>
      <c r="AP13" s="405">
        <v>465</v>
      </c>
      <c r="AQ13" s="405">
        <v>446</v>
      </c>
      <c r="AR13" s="405">
        <v>480</v>
      </c>
      <c r="AS13" s="405">
        <v>495</v>
      </c>
      <c r="AT13" s="405">
        <v>506</v>
      </c>
      <c r="AU13" s="402">
        <v>25100</v>
      </c>
    </row>
    <row r="14" spans="1:47">
      <c r="A14" s="525">
        <v>4</v>
      </c>
      <c r="B14" s="525" t="s">
        <v>143</v>
      </c>
      <c r="C14" s="400" t="s">
        <v>140</v>
      </c>
      <c r="D14" s="405">
        <v>8.6565600000000007</v>
      </c>
      <c r="E14" s="405">
        <v>264.50600000000003</v>
      </c>
      <c r="F14" s="405">
        <v>10.93</v>
      </c>
      <c r="G14" s="405">
        <v>122.76576</v>
      </c>
      <c r="H14" s="405">
        <v>88.095799999999997</v>
      </c>
      <c r="I14" s="405">
        <v>14.7555</v>
      </c>
      <c r="J14" s="405">
        <v>29.01915</v>
      </c>
      <c r="K14" s="405">
        <v>4.5140899999999995</v>
      </c>
      <c r="L14" s="405">
        <v>32.265360000000001</v>
      </c>
      <c r="M14" s="405">
        <v>22.952999999999999</v>
      </c>
      <c r="N14" s="405">
        <v>331.99875000000003</v>
      </c>
      <c r="O14" s="405">
        <v>191.89801</v>
      </c>
      <c r="P14" s="405">
        <v>73.974239999999995</v>
      </c>
      <c r="Q14" s="405">
        <v>23.871120000000001</v>
      </c>
      <c r="R14" s="405">
        <v>26.166420000000002</v>
      </c>
      <c r="S14" s="405">
        <v>31.959320000000002</v>
      </c>
      <c r="T14" s="405">
        <v>106.50192</v>
      </c>
      <c r="U14" s="405">
        <v>0</v>
      </c>
      <c r="V14" s="405">
        <v>9.13748</v>
      </c>
      <c r="W14" s="405">
        <v>4.4594399999999998</v>
      </c>
      <c r="X14" s="405">
        <v>7.6728600000000009</v>
      </c>
      <c r="Y14" s="405">
        <v>7.8040199999999995</v>
      </c>
      <c r="Z14" s="405">
        <v>2.4483200000000003</v>
      </c>
      <c r="AA14" s="405">
        <v>11.629520000000001</v>
      </c>
      <c r="AB14" s="405">
        <v>19.71772</v>
      </c>
      <c r="AC14" s="405">
        <v>244.85386000000003</v>
      </c>
      <c r="AD14" s="405">
        <v>177.066</v>
      </c>
      <c r="AE14" s="405">
        <v>65.186520000000002</v>
      </c>
      <c r="AF14" s="405">
        <v>3.3883000000000001</v>
      </c>
      <c r="AG14" s="405">
        <v>153.73045000000002</v>
      </c>
      <c r="AH14" s="405">
        <v>7.1700800000000005</v>
      </c>
      <c r="AI14" s="405">
        <v>24.166230000000002</v>
      </c>
      <c r="AJ14" s="405">
        <v>58.584800000000001</v>
      </c>
      <c r="AK14" s="405">
        <v>122.416</v>
      </c>
      <c r="AL14" s="405">
        <v>61.317300000000003</v>
      </c>
      <c r="AM14" s="405">
        <v>207.67000000000002</v>
      </c>
      <c r="AN14" s="405">
        <v>32.79</v>
      </c>
      <c r="AO14" s="405">
        <v>39.839850000000006</v>
      </c>
      <c r="AP14" s="405">
        <v>372.49440000000004</v>
      </c>
      <c r="AQ14" s="405">
        <v>117.27889999999999</v>
      </c>
      <c r="AR14" s="405">
        <v>14.7555</v>
      </c>
      <c r="AS14" s="405">
        <v>346.26240000000001</v>
      </c>
      <c r="AT14" s="405">
        <v>114.10920000000002</v>
      </c>
      <c r="AU14" s="402">
        <v>3610.7801500000005</v>
      </c>
    </row>
    <row r="15" spans="1:47" ht="30">
      <c r="A15" s="525"/>
      <c r="B15" s="525"/>
      <c r="C15" s="400" t="s">
        <v>611</v>
      </c>
      <c r="D15" s="405">
        <v>3.96</v>
      </c>
      <c r="E15" s="405">
        <v>121</v>
      </c>
      <c r="F15" s="405">
        <v>5</v>
      </c>
      <c r="G15" s="405">
        <v>56.16</v>
      </c>
      <c r="H15" s="405">
        <v>40.299999999999997</v>
      </c>
      <c r="I15" s="405">
        <v>6.48</v>
      </c>
      <c r="J15" s="405">
        <v>12.61125</v>
      </c>
      <c r="K15" s="405">
        <v>3.7170000000000001</v>
      </c>
      <c r="L15" s="405">
        <v>28.044</v>
      </c>
      <c r="M15" s="405">
        <v>20.16</v>
      </c>
      <c r="N15" s="405">
        <v>303.75</v>
      </c>
      <c r="O15" s="405">
        <v>175.57</v>
      </c>
      <c r="P15" s="405">
        <v>67.679999999999978</v>
      </c>
      <c r="Q15" s="405">
        <v>19.655999999999999</v>
      </c>
      <c r="R15" s="405">
        <v>23.94</v>
      </c>
      <c r="S15" s="405">
        <v>27.778000000000002</v>
      </c>
      <c r="T15" s="405">
        <v>77.951999999999998</v>
      </c>
      <c r="U15" s="405">
        <v>0</v>
      </c>
      <c r="V15" s="405">
        <v>5.016</v>
      </c>
      <c r="W15" s="405">
        <v>2.448</v>
      </c>
      <c r="X15" s="405">
        <v>5.2649999999999997</v>
      </c>
      <c r="Y15" s="405">
        <v>4.9980000000000002</v>
      </c>
      <c r="Z15" s="405">
        <v>1.5680000000000003</v>
      </c>
      <c r="AA15" s="405">
        <v>10.108000000000001</v>
      </c>
      <c r="AB15" s="405">
        <v>20.745999999999999</v>
      </c>
      <c r="AC15" s="405">
        <v>201.61799999999999</v>
      </c>
      <c r="AD15" s="405">
        <v>145.80000000000001</v>
      </c>
      <c r="AE15" s="405">
        <v>47.712000000000003</v>
      </c>
      <c r="AF15" s="405">
        <v>2.9449999999999998</v>
      </c>
      <c r="AG15" s="405">
        <v>140.65</v>
      </c>
      <c r="AH15" s="405">
        <v>6.2320000000000011</v>
      </c>
      <c r="AI15" s="405">
        <v>22.110000000000003</v>
      </c>
      <c r="AJ15" s="405">
        <v>48.24</v>
      </c>
      <c r="AK15" s="405">
        <v>62.16</v>
      </c>
      <c r="AL15" s="405">
        <v>33.098999999999997</v>
      </c>
      <c r="AM15" s="405">
        <v>107.35</v>
      </c>
      <c r="AN15" s="405">
        <v>16.559999999999999</v>
      </c>
      <c r="AO15" s="405">
        <v>20.047499999999999</v>
      </c>
      <c r="AP15" s="405">
        <v>187.44</v>
      </c>
      <c r="AQ15" s="405">
        <v>54.722999999999999</v>
      </c>
      <c r="AR15" s="405">
        <v>7.3574999999999999</v>
      </c>
      <c r="AS15" s="405">
        <v>124.50240000000001</v>
      </c>
      <c r="AT15" s="405">
        <v>60.03</v>
      </c>
      <c r="AU15" s="402">
        <v>2332.4836499999997</v>
      </c>
    </row>
    <row r="16" spans="1:47" ht="30">
      <c r="A16" s="525"/>
      <c r="B16" s="525"/>
      <c r="C16" s="400" t="s">
        <v>612</v>
      </c>
      <c r="D16" s="405">
        <v>500</v>
      </c>
      <c r="E16" s="405">
        <v>500</v>
      </c>
      <c r="F16" s="405">
        <v>500</v>
      </c>
      <c r="G16" s="405">
        <v>500</v>
      </c>
      <c r="H16" s="405">
        <v>500</v>
      </c>
      <c r="I16" s="405">
        <v>480</v>
      </c>
      <c r="J16" s="405">
        <v>475</v>
      </c>
      <c r="K16" s="405">
        <v>900</v>
      </c>
      <c r="L16" s="405">
        <v>950</v>
      </c>
      <c r="M16" s="405">
        <v>960</v>
      </c>
      <c r="N16" s="405">
        <v>1000</v>
      </c>
      <c r="O16" s="405">
        <v>1000</v>
      </c>
      <c r="P16" s="405">
        <v>1000</v>
      </c>
      <c r="Q16" s="405">
        <v>900</v>
      </c>
      <c r="R16" s="405">
        <v>1000</v>
      </c>
      <c r="S16" s="405">
        <v>950</v>
      </c>
      <c r="T16" s="405">
        <v>800</v>
      </c>
      <c r="U16" s="405">
        <v>0</v>
      </c>
      <c r="V16" s="405">
        <v>600</v>
      </c>
      <c r="W16" s="405">
        <v>600</v>
      </c>
      <c r="X16" s="405">
        <v>750</v>
      </c>
      <c r="Y16" s="405">
        <v>700</v>
      </c>
      <c r="Z16" s="405">
        <v>700</v>
      </c>
      <c r="AA16" s="405">
        <v>950</v>
      </c>
      <c r="AB16" s="405">
        <v>1150</v>
      </c>
      <c r="AC16" s="405">
        <v>900</v>
      </c>
      <c r="AD16" s="405">
        <v>900</v>
      </c>
      <c r="AE16" s="405">
        <v>800</v>
      </c>
      <c r="AF16" s="405">
        <v>950</v>
      </c>
      <c r="AG16" s="405">
        <v>1000</v>
      </c>
      <c r="AH16" s="405">
        <v>950</v>
      </c>
      <c r="AI16" s="405">
        <v>1000</v>
      </c>
      <c r="AJ16" s="405">
        <v>900</v>
      </c>
      <c r="AK16" s="405">
        <v>555</v>
      </c>
      <c r="AL16" s="405">
        <v>590</v>
      </c>
      <c r="AM16" s="405">
        <v>565</v>
      </c>
      <c r="AN16" s="405">
        <v>552</v>
      </c>
      <c r="AO16" s="405">
        <v>550</v>
      </c>
      <c r="AP16" s="405">
        <v>550</v>
      </c>
      <c r="AQ16" s="405">
        <v>510</v>
      </c>
      <c r="AR16" s="405">
        <v>545</v>
      </c>
      <c r="AS16" s="405">
        <v>393</v>
      </c>
      <c r="AT16" s="405">
        <v>575</v>
      </c>
      <c r="AU16" s="402">
        <v>31150</v>
      </c>
    </row>
    <row r="17" spans="1:47">
      <c r="A17" s="525">
        <v>5</v>
      </c>
      <c r="B17" s="525" t="s">
        <v>144</v>
      </c>
      <c r="C17" s="400" t="s">
        <v>140</v>
      </c>
      <c r="D17" s="405">
        <v>0</v>
      </c>
      <c r="E17" s="405">
        <v>1.48</v>
      </c>
      <c r="F17" s="405">
        <v>0</v>
      </c>
      <c r="G17" s="405">
        <v>5.6831999999999994</v>
      </c>
      <c r="H17" s="405">
        <v>18.352</v>
      </c>
      <c r="I17" s="405">
        <v>5.55</v>
      </c>
      <c r="J17" s="405">
        <v>7.9920000000000009</v>
      </c>
      <c r="K17" s="405">
        <v>0</v>
      </c>
      <c r="L17" s="405">
        <v>0</v>
      </c>
      <c r="M17" s="405">
        <v>0</v>
      </c>
      <c r="N17" s="405">
        <v>0</v>
      </c>
      <c r="O17" s="405">
        <v>0</v>
      </c>
      <c r="P17" s="405">
        <v>0</v>
      </c>
      <c r="Q17" s="405">
        <v>0</v>
      </c>
      <c r="R17" s="405">
        <v>0</v>
      </c>
      <c r="S17" s="405">
        <v>0</v>
      </c>
      <c r="T17" s="405">
        <v>0</v>
      </c>
      <c r="U17" s="405">
        <v>0</v>
      </c>
      <c r="V17" s="405">
        <v>0</v>
      </c>
      <c r="W17" s="405">
        <v>0</v>
      </c>
      <c r="X17" s="405">
        <v>0</v>
      </c>
      <c r="Y17" s="405">
        <v>0</v>
      </c>
      <c r="Z17" s="405">
        <v>0</v>
      </c>
      <c r="AA17" s="405">
        <v>0</v>
      </c>
      <c r="AB17" s="405">
        <v>0</v>
      </c>
      <c r="AC17" s="405">
        <v>0</v>
      </c>
      <c r="AD17" s="405">
        <v>0</v>
      </c>
      <c r="AE17" s="405">
        <v>0</v>
      </c>
      <c r="AF17" s="405">
        <v>0</v>
      </c>
      <c r="AG17" s="405">
        <v>0</v>
      </c>
      <c r="AH17" s="405">
        <v>0</v>
      </c>
      <c r="AI17" s="405">
        <v>0</v>
      </c>
      <c r="AJ17" s="405">
        <v>0</v>
      </c>
      <c r="AK17" s="405">
        <v>2.3680000000000003</v>
      </c>
      <c r="AL17" s="405">
        <v>0.97680000000000011</v>
      </c>
      <c r="AM17" s="405">
        <v>1.48</v>
      </c>
      <c r="AN17" s="405">
        <v>4.4399999999999995</v>
      </c>
      <c r="AO17" s="405">
        <v>2.3976000000000002</v>
      </c>
      <c r="AP17" s="405">
        <v>2.8415999999999997</v>
      </c>
      <c r="AQ17" s="405">
        <v>0</v>
      </c>
      <c r="AR17" s="405">
        <v>2.6640000000000001</v>
      </c>
      <c r="AS17" s="405">
        <v>4.2623999999999995</v>
      </c>
      <c r="AT17" s="405">
        <v>2.5751999999999997</v>
      </c>
      <c r="AU17" s="402">
        <v>63.062799999999996</v>
      </c>
    </row>
    <row r="18" spans="1:47" ht="30">
      <c r="A18" s="525"/>
      <c r="B18" s="525"/>
      <c r="C18" s="400" t="s">
        <v>611</v>
      </c>
      <c r="D18" s="405">
        <v>0</v>
      </c>
      <c r="E18" s="405">
        <v>0.50800000000000001</v>
      </c>
      <c r="F18" s="405">
        <v>0</v>
      </c>
      <c r="G18" s="405">
        <v>1.95072</v>
      </c>
      <c r="H18" s="405">
        <v>6.2619999999999996</v>
      </c>
      <c r="I18" s="405">
        <v>1.875</v>
      </c>
      <c r="J18" s="405">
        <v>2.6459999999999999</v>
      </c>
      <c r="K18" s="405">
        <v>0</v>
      </c>
      <c r="L18" s="405">
        <v>0</v>
      </c>
      <c r="M18" s="405">
        <v>0</v>
      </c>
      <c r="N18" s="405">
        <v>0</v>
      </c>
      <c r="O18" s="405">
        <v>0</v>
      </c>
      <c r="P18" s="405">
        <v>0</v>
      </c>
      <c r="Q18" s="405">
        <v>0</v>
      </c>
      <c r="R18" s="405">
        <v>0</v>
      </c>
      <c r="S18" s="405">
        <v>0</v>
      </c>
      <c r="T18" s="405">
        <v>0</v>
      </c>
      <c r="U18" s="405">
        <v>0</v>
      </c>
      <c r="V18" s="405">
        <v>0</v>
      </c>
      <c r="W18" s="405">
        <v>0</v>
      </c>
      <c r="X18" s="405">
        <v>0</v>
      </c>
      <c r="Y18" s="405">
        <v>0</v>
      </c>
      <c r="Z18" s="405">
        <v>0</v>
      </c>
      <c r="AA18" s="405">
        <v>0</v>
      </c>
      <c r="AB18" s="405">
        <v>0</v>
      </c>
      <c r="AC18" s="405">
        <v>0</v>
      </c>
      <c r="AD18" s="405">
        <v>0</v>
      </c>
      <c r="AE18" s="405">
        <v>0</v>
      </c>
      <c r="AF18" s="405">
        <v>0</v>
      </c>
      <c r="AG18" s="405">
        <v>0</v>
      </c>
      <c r="AH18" s="405">
        <v>0</v>
      </c>
      <c r="AI18" s="405">
        <v>0</v>
      </c>
      <c r="AJ18" s="405">
        <v>0</v>
      </c>
      <c r="AK18" s="405">
        <v>3.032</v>
      </c>
      <c r="AL18" s="405">
        <v>1.2474000000000001</v>
      </c>
      <c r="AM18" s="405">
        <v>1.83</v>
      </c>
      <c r="AN18" s="405">
        <v>5.694</v>
      </c>
      <c r="AO18" s="405">
        <v>3.0682800000000001</v>
      </c>
      <c r="AP18" s="405">
        <v>3.6384000000000003</v>
      </c>
      <c r="AQ18" s="405">
        <v>0</v>
      </c>
      <c r="AR18" s="405">
        <v>3.294</v>
      </c>
      <c r="AS18" s="405">
        <v>5.2848000000000006</v>
      </c>
      <c r="AT18" s="405">
        <v>3.2364000000000002</v>
      </c>
      <c r="AU18" s="402">
        <v>43.567000000000007</v>
      </c>
    </row>
    <row r="19" spans="1:47" ht="30">
      <c r="A19" s="525"/>
      <c r="B19" s="525"/>
      <c r="C19" s="400" t="s">
        <v>612</v>
      </c>
      <c r="D19" s="405">
        <v>0</v>
      </c>
      <c r="E19" s="405">
        <v>508</v>
      </c>
      <c r="F19" s="405">
        <v>0</v>
      </c>
      <c r="G19" s="405">
        <v>508</v>
      </c>
      <c r="H19" s="405">
        <v>505</v>
      </c>
      <c r="I19" s="405">
        <v>500</v>
      </c>
      <c r="J19" s="405">
        <v>490</v>
      </c>
      <c r="K19" s="405">
        <v>0</v>
      </c>
      <c r="L19" s="405">
        <v>0</v>
      </c>
      <c r="M19" s="405"/>
      <c r="N19" s="405">
        <v>0</v>
      </c>
      <c r="O19" s="405">
        <v>0</v>
      </c>
      <c r="P19" s="405">
        <v>0</v>
      </c>
      <c r="Q19" s="405">
        <v>0</v>
      </c>
      <c r="R19" s="405">
        <v>0</v>
      </c>
      <c r="S19" s="405">
        <v>0</v>
      </c>
      <c r="T19" s="405">
        <v>0</v>
      </c>
      <c r="U19" s="405">
        <v>0</v>
      </c>
      <c r="V19" s="405">
        <v>0</v>
      </c>
      <c r="W19" s="405">
        <v>0</v>
      </c>
      <c r="X19" s="405">
        <v>0</v>
      </c>
      <c r="Y19" s="405">
        <v>0</v>
      </c>
      <c r="Z19" s="405">
        <v>0</v>
      </c>
      <c r="AA19" s="405">
        <v>0</v>
      </c>
      <c r="AB19" s="405">
        <v>0</v>
      </c>
      <c r="AC19" s="405">
        <v>0</v>
      </c>
      <c r="AD19" s="405"/>
      <c r="AE19" s="405">
        <v>0</v>
      </c>
      <c r="AF19" s="405">
        <v>0</v>
      </c>
      <c r="AG19" s="405">
        <v>0</v>
      </c>
      <c r="AH19" s="405">
        <v>0</v>
      </c>
      <c r="AI19" s="405">
        <v>0</v>
      </c>
      <c r="AJ19" s="405">
        <v>0</v>
      </c>
      <c r="AK19" s="405">
        <v>1895</v>
      </c>
      <c r="AL19" s="405">
        <v>1890</v>
      </c>
      <c r="AM19" s="405">
        <v>1830</v>
      </c>
      <c r="AN19" s="405">
        <v>1898</v>
      </c>
      <c r="AO19" s="405">
        <v>1894</v>
      </c>
      <c r="AP19" s="405">
        <v>1895</v>
      </c>
      <c r="AQ19" s="405">
        <v>0</v>
      </c>
      <c r="AR19" s="405">
        <v>1830</v>
      </c>
      <c r="AS19" s="405">
        <v>1835</v>
      </c>
      <c r="AT19" s="405">
        <v>1860</v>
      </c>
      <c r="AU19" s="402">
        <v>19338</v>
      </c>
    </row>
    <row r="20" spans="1:47">
      <c r="A20" s="525">
        <v>6</v>
      </c>
      <c r="B20" s="525" t="s">
        <v>145</v>
      </c>
      <c r="C20" s="400" t="s">
        <v>140</v>
      </c>
      <c r="D20" s="405">
        <v>0</v>
      </c>
      <c r="E20" s="405">
        <v>0</v>
      </c>
      <c r="F20" s="405">
        <v>0</v>
      </c>
      <c r="G20" s="405">
        <v>0</v>
      </c>
      <c r="H20" s="405">
        <v>0</v>
      </c>
      <c r="I20" s="405">
        <v>0</v>
      </c>
      <c r="J20" s="405">
        <v>0</v>
      </c>
      <c r="K20" s="405">
        <v>4.0168379999999999</v>
      </c>
      <c r="L20" s="405">
        <v>0</v>
      </c>
      <c r="M20" s="405">
        <v>0</v>
      </c>
      <c r="N20" s="405">
        <v>220.58568000000002</v>
      </c>
      <c r="O20" s="405">
        <v>4.4026360000000002</v>
      </c>
      <c r="P20" s="405">
        <v>76.796495999999991</v>
      </c>
      <c r="Q20" s="405">
        <v>63.724752000000002</v>
      </c>
      <c r="R20" s="405">
        <v>14.229138000000001</v>
      </c>
      <c r="S20" s="405">
        <v>3.8579800000000004</v>
      </c>
      <c r="T20" s="405">
        <v>2.8594439999999999</v>
      </c>
      <c r="U20" s="405">
        <v>20.356518000000001</v>
      </c>
      <c r="V20" s="405">
        <v>1.997072</v>
      </c>
      <c r="W20" s="405">
        <v>2.3147880000000001</v>
      </c>
      <c r="X20" s="405">
        <v>0</v>
      </c>
      <c r="Y20" s="405">
        <v>0</v>
      </c>
      <c r="Z20" s="405">
        <v>0</v>
      </c>
      <c r="AA20" s="405">
        <v>3.8125920000000004</v>
      </c>
      <c r="AB20" s="405">
        <v>0.930454</v>
      </c>
      <c r="AC20" s="405">
        <v>25.054176000000002</v>
      </c>
      <c r="AD20" s="405">
        <v>19.289899999999999</v>
      </c>
      <c r="AE20" s="405">
        <v>2.8594439999999999</v>
      </c>
      <c r="AF20" s="405">
        <v>0.28367500000000001</v>
      </c>
      <c r="AG20" s="405">
        <v>70.442176000000003</v>
      </c>
      <c r="AH20" s="405">
        <v>10.711568</v>
      </c>
      <c r="AI20" s="405">
        <v>75.264651000000001</v>
      </c>
      <c r="AJ20" s="405">
        <v>159.65229000000002</v>
      </c>
      <c r="AK20" s="405">
        <v>0</v>
      </c>
      <c r="AL20" s="405">
        <v>0</v>
      </c>
      <c r="AM20" s="405">
        <v>0</v>
      </c>
      <c r="AN20" s="405">
        <v>0</v>
      </c>
      <c r="AO20" s="405">
        <v>0</v>
      </c>
      <c r="AP20" s="405">
        <v>0</v>
      </c>
      <c r="AQ20" s="405">
        <v>0</v>
      </c>
      <c r="AR20" s="405">
        <v>0</v>
      </c>
      <c r="AS20" s="405">
        <v>0</v>
      </c>
      <c r="AT20" s="405">
        <v>0</v>
      </c>
      <c r="AU20" s="402">
        <v>783.44226800000001</v>
      </c>
    </row>
    <row r="21" spans="1:47" ht="30">
      <c r="A21" s="525"/>
      <c r="B21" s="525"/>
      <c r="C21" s="400" t="s">
        <v>611</v>
      </c>
      <c r="D21" s="405">
        <v>0</v>
      </c>
      <c r="E21" s="405">
        <v>0</v>
      </c>
      <c r="F21" s="405">
        <v>0</v>
      </c>
      <c r="G21" s="405">
        <v>0</v>
      </c>
      <c r="H21" s="405">
        <v>0</v>
      </c>
      <c r="I21" s="405">
        <v>0</v>
      </c>
      <c r="J21" s="405">
        <v>0</v>
      </c>
      <c r="K21" s="405">
        <v>6.3719999999999999</v>
      </c>
      <c r="L21" s="405">
        <v>0</v>
      </c>
      <c r="M21" s="405">
        <v>0</v>
      </c>
      <c r="N21" s="405">
        <v>388.8</v>
      </c>
      <c r="O21" s="405">
        <v>5.82</v>
      </c>
      <c r="P21" s="405">
        <v>108.28799999999998</v>
      </c>
      <c r="Q21" s="405">
        <v>95.471999999999994</v>
      </c>
      <c r="R21" s="405">
        <v>23.826000000000001</v>
      </c>
      <c r="S21" s="405">
        <v>6.120000000000001</v>
      </c>
      <c r="T21" s="405">
        <v>4.5359999999999996</v>
      </c>
      <c r="U21" s="405">
        <v>32.292000000000002</v>
      </c>
      <c r="V21" s="405">
        <v>2.992</v>
      </c>
      <c r="W21" s="405">
        <v>3.06</v>
      </c>
      <c r="X21" s="405">
        <v>0</v>
      </c>
      <c r="Y21" s="405">
        <v>0</v>
      </c>
      <c r="Z21" s="405">
        <v>0</v>
      </c>
      <c r="AA21" s="405">
        <v>6.7200000000000006</v>
      </c>
      <c r="AB21" s="405">
        <v>1.476</v>
      </c>
      <c r="AC21" s="405">
        <v>39.744</v>
      </c>
      <c r="AD21" s="405">
        <v>23.8</v>
      </c>
      <c r="AE21" s="405">
        <v>4.2839999999999998</v>
      </c>
      <c r="AF21" s="405">
        <v>0.375</v>
      </c>
      <c r="AG21" s="405">
        <v>93.12</v>
      </c>
      <c r="AH21" s="405">
        <v>16.047999999999998</v>
      </c>
      <c r="AI21" s="405">
        <v>99.495000000000005</v>
      </c>
      <c r="AJ21" s="405">
        <v>225.12000000000003</v>
      </c>
      <c r="AK21" s="405">
        <v>0</v>
      </c>
      <c r="AL21" s="405">
        <v>0</v>
      </c>
      <c r="AM21" s="405">
        <v>0</v>
      </c>
      <c r="AN21" s="405">
        <v>0</v>
      </c>
      <c r="AO21" s="405">
        <v>0</v>
      </c>
      <c r="AP21" s="405">
        <v>0</v>
      </c>
      <c r="AQ21" s="405">
        <v>0</v>
      </c>
      <c r="AR21" s="405">
        <v>0</v>
      </c>
      <c r="AS21" s="405">
        <v>0</v>
      </c>
      <c r="AT21" s="405">
        <v>0</v>
      </c>
      <c r="AU21" s="402">
        <v>1187.76</v>
      </c>
    </row>
    <row r="22" spans="1:47" ht="30">
      <c r="A22" s="525"/>
      <c r="B22" s="525"/>
      <c r="C22" s="400" t="s">
        <v>612</v>
      </c>
      <c r="D22" s="405">
        <v>0</v>
      </c>
      <c r="E22" s="405"/>
      <c r="F22" s="405"/>
      <c r="G22" s="405">
        <v>0</v>
      </c>
      <c r="H22" s="405">
        <v>0</v>
      </c>
      <c r="I22" s="405">
        <v>0</v>
      </c>
      <c r="J22" s="405">
        <v>0</v>
      </c>
      <c r="K22" s="405">
        <v>1800</v>
      </c>
      <c r="L22" s="405">
        <v>0</v>
      </c>
      <c r="M22" s="405"/>
      <c r="N22" s="405">
        <v>2000</v>
      </c>
      <c r="O22" s="405">
        <v>1500</v>
      </c>
      <c r="P22" s="405">
        <v>1600</v>
      </c>
      <c r="Q22" s="405">
        <v>1700</v>
      </c>
      <c r="R22" s="405">
        <v>1900</v>
      </c>
      <c r="S22" s="405">
        <v>1800</v>
      </c>
      <c r="T22" s="405">
        <v>1800</v>
      </c>
      <c r="U22" s="405">
        <v>1800</v>
      </c>
      <c r="V22" s="405">
        <v>1700</v>
      </c>
      <c r="W22" s="405">
        <v>1500</v>
      </c>
      <c r="X22" s="405">
        <v>0</v>
      </c>
      <c r="Y22" s="405">
        <v>0</v>
      </c>
      <c r="Z22" s="405">
        <v>0</v>
      </c>
      <c r="AA22" s="405">
        <v>2000</v>
      </c>
      <c r="AB22" s="405">
        <v>1800</v>
      </c>
      <c r="AC22" s="405">
        <v>1800</v>
      </c>
      <c r="AD22" s="405">
        <v>1400</v>
      </c>
      <c r="AE22" s="405">
        <v>1700</v>
      </c>
      <c r="AF22" s="405">
        <v>1500</v>
      </c>
      <c r="AG22" s="405">
        <v>1500</v>
      </c>
      <c r="AH22" s="405">
        <v>1700</v>
      </c>
      <c r="AI22" s="405">
        <v>1500</v>
      </c>
      <c r="AJ22" s="405">
        <v>1600</v>
      </c>
      <c r="AK22" s="405">
        <v>0</v>
      </c>
      <c r="AL22" s="405">
        <v>0</v>
      </c>
      <c r="AM22" s="405"/>
      <c r="AN22" s="405">
        <v>0</v>
      </c>
      <c r="AO22" s="405">
        <v>0</v>
      </c>
      <c r="AP22" s="405">
        <v>0</v>
      </c>
      <c r="AQ22" s="405">
        <v>0</v>
      </c>
      <c r="AR22" s="405">
        <v>0</v>
      </c>
      <c r="AS22" s="405">
        <v>0</v>
      </c>
      <c r="AT22" s="405">
        <v>0</v>
      </c>
      <c r="AU22" s="402">
        <v>35600</v>
      </c>
    </row>
    <row r="23" spans="1:47">
      <c r="A23" s="525">
        <v>7</v>
      </c>
      <c r="B23" s="525" t="s">
        <v>146</v>
      </c>
      <c r="C23" s="400" t="s">
        <v>140</v>
      </c>
      <c r="D23" s="405">
        <v>0</v>
      </c>
      <c r="E23" s="405">
        <v>0</v>
      </c>
      <c r="F23" s="405">
        <v>0</v>
      </c>
      <c r="G23" s="405">
        <v>0</v>
      </c>
      <c r="H23" s="405">
        <v>0</v>
      </c>
      <c r="I23" s="405">
        <v>0</v>
      </c>
      <c r="J23" s="405">
        <v>0</v>
      </c>
      <c r="K23" s="405">
        <v>0</v>
      </c>
      <c r="L23" s="405">
        <v>0</v>
      </c>
      <c r="M23" s="405">
        <v>0</v>
      </c>
      <c r="N23" s="405">
        <v>0</v>
      </c>
      <c r="O23" s="405">
        <v>0</v>
      </c>
      <c r="P23" s="405">
        <v>0</v>
      </c>
      <c r="Q23" s="405">
        <v>0</v>
      </c>
      <c r="R23" s="405">
        <v>0</v>
      </c>
      <c r="S23" s="405">
        <v>0</v>
      </c>
      <c r="T23" s="405">
        <v>0</v>
      </c>
      <c r="U23" s="405">
        <v>0</v>
      </c>
      <c r="V23" s="405">
        <v>0</v>
      </c>
      <c r="W23" s="405">
        <v>0</v>
      </c>
      <c r="X23" s="405">
        <v>0</v>
      </c>
      <c r="Y23" s="405">
        <v>0</v>
      </c>
      <c r="Z23" s="405">
        <v>0</v>
      </c>
      <c r="AA23" s="405">
        <v>0</v>
      </c>
      <c r="AB23" s="405">
        <v>0</v>
      </c>
      <c r="AC23" s="405">
        <v>0</v>
      </c>
      <c r="AD23" s="405">
        <v>0</v>
      </c>
      <c r="AE23" s="405">
        <v>0</v>
      </c>
      <c r="AF23" s="405">
        <v>1.7280000000000002</v>
      </c>
      <c r="AG23" s="405">
        <v>29.798400000000001</v>
      </c>
      <c r="AH23" s="405">
        <v>5.8368000000000002</v>
      </c>
      <c r="AI23" s="405">
        <v>0</v>
      </c>
      <c r="AJ23" s="405">
        <v>0</v>
      </c>
      <c r="AK23" s="405">
        <v>0</v>
      </c>
      <c r="AL23" s="405">
        <v>0</v>
      </c>
      <c r="AM23" s="405">
        <v>0</v>
      </c>
      <c r="AN23" s="405">
        <v>0</v>
      </c>
      <c r="AO23" s="405">
        <v>0</v>
      </c>
      <c r="AP23" s="405">
        <v>0</v>
      </c>
      <c r="AQ23" s="405">
        <v>0</v>
      </c>
      <c r="AR23" s="405">
        <v>0</v>
      </c>
      <c r="AS23" s="405">
        <v>0</v>
      </c>
      <c r="AT23" s="405">
        <v>0</v>
      </c>
      <c r="AU23" s="402">
        <v>37.363200000000006</v>
      </c>
    </row>
    <row r="24" spans="1:47" ht="30">
      <c r="A24" s="525"/>
      <c r="B24" s="525"/>
      <c r="C24" s="400" t="s">
        <v>611</v>
      </c>
      <c r="D24" s="405">
        <v>0</v>
      </c>
      <c r="E24" s="405">
        <v>0</v>
      </c>
      <c r="F24" s="405">
        <v>0</v>
      </c>
      <c r="G24" s="405">
        <v>0</v>
      </c>
      <c r="H24" s="405">
        <v>0</v>
      </c>
      <c r="I24" s="405">
        <v>0</v>
      </c>
      <c r="J24" s="405">
        <v>0</v>
      </c>
      <c r="K24" s="405">
        <v>0</v>
      </c>
      <c r="L24" s="405">
        <v>0</v>
      </c>
      <c r="M24" s="405">
        <v>0</v>
      </c>
      <c r="N24" s="405">
        <v>0</v>
      </c>
      <c r="O24" s="405">
        <v>0</v>
      </c>
      <c r="P24" s="405">
        <v>0</v>
      </c>
      <c r="Q24" s="405">
        <v>0</v>
      </c>
      <c r="R24" s="405">
        <v>0</v>
      </c>
      <c r="S24" s="405">
        <v>0</v>
      </c>
      <c r="T24" s="405">
        <v>0</v>
      </c>
      <c r="U24" s="405">
        <v>0</v>
      </c>
      <c r="V24" s="405">
        <v>0</v>
      </c>
      <c r="W24" s="405">
        <v>0</v>
      </c>
      <c r="X24" s="405">
        <v>0</v>
      </c>
      <c r="Y24" s="405">
        <v>0</v>
      </c>
      <c r="Z24" s="405">
        <v>0</v>
      </c>
      <c r="AA24" s="405">
        <v>0</v>
      </c>
      <c r="AB24" s="405">
        <v>0</v>
      </c>
      <c r="AC24" s="405">
        <v>0</v>
      </c>
      <c r="AD24" s="405">
        <v>0</v>
      </c>
      <c r="AE24" s="405">
        <v>0</v>
      </c>
      <c r="AF24" s="405">
        <v>1.98</v>
      </c>
      <c r="AG24" s="405">
        <v>34.143999999999998</v>
      </c>
      <c r="AH24" s="405">
        <v>6.6879999999999997</v>
      </c>
      <c r="AI24" s="405">
        <v>0</v>
      </c>
      <c r="AJ24" s="405">
        <v>0</v>
      </c>
      <c r="AK24" s="405">
        <v>0</v>
      </c>
      <c r="AL24" s="405">
        <v>0</v>
      </c>
      <c r="AM24" s="405">
        <v>0</v>
      </c>
      <c r="AN24" s="405">
        <v>0</v>
      </c>
      <c r="AO24" s="405">
        <v>0</v>
      </c>
      <c r="AP24" s="405">
        <v>0</v>
      </c>
      <c r="AQ24" s="405">
        <v>0</v>
      </c>
      <c r="AR24" s="405">
        <v>0</v>
      </c>
      <c r="AS24" s="405">
        <v>0</v>
      </c>
      <c r="AT24" s="405">
        <v>0</v>
      </c>
      <c r="AU24" s="402">
        <v>42.811999999999998</v>
      </c>
    </row>
    <row r="25" spans="1:47" ht="30">
      <c r="A25" s="525"/>
      <c r="B25" s="525"/>
      <c r="C25" s="400" t="s">
        <v>612</v>
      </c>
      <c r="D25" s="405">
        <v>0</v>
      </c>
      <c r="E25" s="405"/>
      <c r="F25" s="405"/>
      <c r="G25" s="405">
        <v>0</v>
      </c>
      <c r="H25" s="405">
        <v>0</v>
      </c>
      <c r="I25" s="405">
        <v>0</v>
      </c>
      <c r="J25" s="405">
        <v>0</v>
      </c>
      <c r="K25" s="405">
        <v>0</v>
      </c>
      <c r="L25" s="405">
        <v>0</v>
      </c>
      <c r="M25" s="405"/>
      <c r="N25" s="405">
        <v>0</v>
      </c>
      <c r="O25" s="405">
        <v>0</v>
      </c>
      <c r="P25" s="405">
        <v>0</v>
      </c>
      <c r="Q25" s="405">
        <v>0</v>
      </c>
      <c r="R25" s="405">
        <v>0</v>
      </c>
      <c r="S25" s="405">
        <v>0</v>
      </c>
      <c r="T25" s="405">
        <v>0</v>
      </c>
      <c r="U25" s="405">
        <v>0</v>
      </c>
      <c r="V25" s="405">
        <v>0</v>
      </c>
      <c r="W25" s="405">
        <v>0</v>
      </c>
      <c r="X25" s="405">
        <v>0</v>
      </c>
      <c r="Y25" s="405">
        <v>0</v>
      </c>
      <c r="Z25" s="405">
        <v>0</v>
      </c>
      <c r="AA25" s="405">
        <v>0</v>
      </c>
      <c r="AB25" s="405">
        <v>0</v>
      </c>
      <c r="AC25" s="405">
        <v>0</v>
      </c>
      <c r="AD25" s="405"/>
      <c r="AE25" s="405">
        <v>0</v>
      </c>
      <c r="AF25" s="405">
        <v>2200</v>
      </c>
      <c r="AG25" s="405">
        <v>2200</v>
      </c>
      <c r="AH25" s="405">
        <v>2200</v>
      </c>
      <c r="AI25" s="405">
        <v>0</v>
      </c>
      <c r="AJ25" s="405">
        <v>0</v>
      </c>
      <c r="AK25" s="405">
        <v>0</v>
      </c>
      <c r="AL25" s="405">
        <v>0</v>
      </c>
      <c r="AM25" s="405"/>
      <c r="AN25" s="405">
        <v>0</v>
      </c>
      <c r="AO25" s="405">
        <v>0</v>
      </c>
      <c r="AP25" s="405">
        <v>0</v>
      </c>
      <c r="AQ25" s="405">
        <v>0</v>
      </c>
      <c r="AR25" s="405">
        <v>0</v>
      </c>
      <c r="AS25" s="405">
        <v>0</v>
      </c>
      <c r="AT25" s="405">
        <v>0</v>
      </c>
      <c r="AU25" s="402">
        <v>6600</v>
      </c>
    </row>
    <row r="26" spans="1:47" s="399" customFormat="1">
      <c r="A26" s="394" t="s">
        <v>147</v>
      </c>
      <c r="B26" s="398" t="s">
        <v>148</v>
      </c>
      <c r="C26" s="398"/>
      <c r="D26" s="405"/>
      <c r="E26" s="406"/>
      <c r="F26" s="406"/>
      <c r="G26" s="405"/>
      <c r="H26" s="405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  <c r="AA26" s="406"/>
      <c r="AB26" s="406"/>
      <c r="AC26" s="406"/>
      <c r="AD26" s="406"/>
      <c r="AE26" s="406"/>
      <c r="AF26" s="406"/>
      <c r="AG26" s="406"/>
      <c r="AH26" s="406"/>
      <c r="AI26" s="406"/>
      <c r="AJ26" s="406"/>
      <c r="AK26" s="406"/>
      <c r="AL26" s="406"/>
      <c r="AM26" s="406"/>
      <c r="AN26" s="406"/>
      <c r="AO26" s="406"/>
      <c r="AP26" s="406"/>
      <c r="AQ26" s="406"/>
      <c r="AR26" s="406"/>
      <c r="AS26" s="406"/>
      <c r="AT26" s="406"/>
      <c r="AU26" s="402"/>
    </row>
    <row r="27" spans="1:47">
      <c r="A27" s="525">
        <v>1</v>
      </c>
      <c r="B27" s="525" t="s">
        <v>149</v>
      </c>
      <c r="C27" s="400" t="s">
        <v>140</v>
      </c>
      <c r="D27" s="405">
        <v>18.374449104</v>
      </c>
      <c r="E27" s="405">
        <v>34.800092999999997</v>
      </c>
      <c r="F27" s="405">
        <v>4.6400123999999998</v>
      </c>
      <c r="G27" s="405">
        <v>97.4402604</v>
      </c>
      <c r="H27" s="405">
        <v>172.60846128000003</v>
      </c>
      <c r="I27" s="405">
        <v>28.014074865000001</v>
      </c>
      <c r="J27" s="405">
        <v>34.452092069999999</v>
      </c>
      <c r="K27" s="405">
        <v>17.110045724999999</v>
      </c>
      <c r="L27" s="405">
        <v>11.890031775000001</v>
      </c>
      <c r="M27" s="405">
        <v>90.480241800000002</v>
      </c>
      <c r="N27" s="405">
        <v>97.718661144000009</v>
      </c>
      <c r="O27" s="405">
        <v>58.510556363999996</v>
      </c>
      <c r="P27" s="405">
        <v>15.265640796000001</v>
      </c>
      <c r="Q27" s="405">
        <v>44.335318481999998</v>
      </c>
      <c r="R27" s="405">
        <v>18.513649476000001</v>
      </c>
      <c r="S27" s="405">
        <v>27.608073780000002</v>
      </c>
      <c r="T27" s="405">
        <v>28.257675515999999</v>
      </c>
      <c r="U27" s="405">
        <v>8.4448225680000011</v>
      </c>
      <c r="V27" s="405">
        <v>10.208027280000001</v>
      </c>
      <c r="W27" s="405">
        <v>7.8880210800000006</v>
      </c>
      <c r="X27" s="405">
        <v>9.0480241800000005</v>
      </c>
      <c r="Y27" s="405">
        <v>14.616039059999999</v>
      </c>
      <c r="Z27" s="405">
        <v>3.7120099199999999</v>
      </c>
      <c r="AA27" s="405">
        <v>37.027298952000002</v>
      </c>
      <c r="AB27" s="405">
        <v>12.365633045999999</v>
      </c>
      <c r="AC27" s="405">
        <v>81.107416752000006</v>
      </c>
      <c r="AD27" s="405">
        <v>59.16015809999999</v>
      </c>
      <c r="AE27" s="405">
        <v>34.104091140000001</v>
      </c>
      <c r="AF27" s="405">
        <v>0.92800247999999996</v>
      </c>
      <c r="AG27" s="405">
        <v>106.894285665</v>
      </c>
      <c r="AH27" s="405">
        <v>16.704044639999999</v>
      </c>
      <c r="AI27" s="405">
        <v>61.398964083000003</v>
      </c>
      <c r="AJ27" s="405">
        <v>124.35233232</v>
      </c>
      <c r="AK27" s="405">
        <v>222.72059519999996</v>
      </c>
      <c r="AL27" s="405">
        <v>99.52826598</v>
      </c>
      <c r="AM27" s="405">
        <v>179.80048049999999</v>
      </c>
      <c r="AN27" s="405">
        <v>220.98059054999999</v>
      </c>
      <c r="AO27" s="405">
        <v>48.859330572000005</v>
      </c>
      <c r="AP27" s="405">
        <v>267.26471423999993</v>
      </c>
      <c r="AQ27" s="405">
        <v>231.76861937999999</v>
      </c>
      <c r="AR27" s="405">
        <v>67.860181349999991</v>
      </c>
      <c r="AS27" s="405">
        <v>209.35735948799999</v>
      </c>
      <c r="AT27" s="405">
        <v>49.450932153000004</v>
      </c>
      <c r="AU27" s="401">
        <v>2985.569578656</v>
      </c>
    </row>
    <row r="28" spans="1:47" ht="30">
      <c r="A28" s="525"/>
      <c r="B28" s="525"/>
      <c r="C28" s="400" t="s">
        <v>611</v>
      </c>
      <c r="D28" s="405">
        <v>31.68</v>
      </c>
      <c r="E28" s="405">
        <v>60</v>
      </c>
      <c r="F28" s="405">
        <v>8</v>
      </c>
      <c r="G28" s="405">
        <v>168</v>
      </c>
      <c r="H28" s="405">
        <v>267.83999999999997</v>
      </c>
      <c r="I28" s="405">
        <v>43.47</v>
      </c>
      <c r="J28" s="405">
        <v>53.46</v>
      </c>
      <c r="K28" s="405">
        <v>59</v>
      </c>
      <c r="L28" s="405">
        <v>37.924999999999997</v>
      </c>
      <c r="M28" s="405">
        <v>300.3</v>
      </c>
      <c r="N28" s="405">
        <v>320.11200000000008</v>
      </c>
      <c r="O28" s="405">
        <v>186.62799999999999</v>
      </c>
      <c r="P28" s="405">
        <v>50.008000000000003</v>
      </c>
      <c r="Q28" s="405">
        <v>137.59200000000001</v>
      </c>
      <c r="R28" s="405">
        <v>60.648000000000003</v>
      </c>
      <c r="S28" s="405">
        <v>92.82</v>
      </c>
      <c r="T28" s="405">
        <v>97.44</v>
      </c>
      <c r="U28" s="405">
        <v>28.391999999999999</v>
      </c>
      <c r="V28" s="405">
        <v>35.200000000000003</v>
      </c>
      <c r="W28" s="405">
        <v>25.840000000000003</v>
      </c>
      <c r="X28" s="405">
        <v>30.420000000000005</v>
      </c>
      <c r="Y28" s="405">
        <v>49.14</v>
      </c>
      <c r="Z28" s="405">
        <v>12.8</v>
      </c>
      <c r="AA28" s="405">
        <v>127.68</v>
      </c>
      <c r="AB28" s="405">
        <v>41.573999999999998</v>
      </c>
      <c r="AC28" s="405">
        <v>258.70400000000001</v>
      </c>
      <c r="AD28" s="405">
        <v>178.5</v>
      </c>
      <c r="AE28" s="405">
        <v>14.406000000000001</v>
      </c>
      <c r="AF28" s="405">
        <v>2.8</v>
      </c>
      <c r="AG28" s="405">
        <v>322.52499999999992</v>
      </c>
      <c r="AH28" s="405">
        <v>54.72</v>
      </c>
      <c r="AI28" s="405">
        <v>201.13399999999999</v>
      </c>
      <c r="AJ28" s="405">
        <v>385.92</v>
      </c>
      <c r="AK28" s="405">
        <v>602.88</v>
      </c>
      <c r="AL28" s="405">
        <v>252.25200000000001</v>
      </c>
      <c r="AM28" s="405">
        <v>442.21499999999997</v>
      </c>
      <c r="AN28" s="405">
        <v>666.75</v>
      </c>
      <c r="AO28" s="405">
        <v>119.8314</v>
      </c>
      <c r="AP28" s="405">
        <v>724.60799999999983</v>
      </c>
      <c r="AQ28" s="405">
        <v>625.37400000000002</v>
      </c>
      <c r="AR28" s="405">
        <v>167.01750000000001</v>
      </c>
      <c r="AS28" s="405">
        <v>530.61119999999994</v>
      </c>
      <c r="AT28" s="405">
        <v>128.52945000000003</v>
      </c>
      <c r="AU28" s="402">
        <v>8004.7465500000008</v>
      </c>
    </row>
    <row r="29" spans="1:47" ht="30">
      <c r="A29" s="525"/>
      <c r="B29" s="525"/>
      <c r="C29" s="400" t="s">
        <v>612</v>
      </c>
      <c r="D29" s="405">
        <v>2000</v>
      </c>
      <c r="E29" s="405">
        <v>2000</v>
      </c>
      <c r="F29" s="405">
        <v>2000</v>
      </c>
      <c r="G29" s="405">
        <v>2000</v>
      </c>
      <c r="H29" s="405">
        <v>1800</v>
      </c>
      <c r="I29" s="405">
        <v>1800</v>
      </c>
      <c r="J29" s="405">
        <v>1800</v>
      </c>
      <c r="K29" s="405">
        <v>4000</v>
      </c>
      <c r="L29" s="405">
        <v>3700</v>
      </c>
      <c r="M29" s="405">
        <v>3850</v>
      </c>
      <c r="N29" s="405">
        <v>3800</v>
      </c>
      <c r="O29" s="405">
        <v>3700</v>
      </c>
      <c r="P29" s="405">
        <v>3800</v>
      </c>
      <c r="Q29" s="405">
        <v>3600</v>
      </c>
      <c r="R29" s="405">
        <v>3800</v>
      </c>
      <c r="S29" s="405">
        <v>3900</v>
      </c>
      <c r="T29" s="405">
        <v>4000</v>
      </c>
      <c r="U29" s="405">
        <v>3900</v>
      </c>
      <c r="V29" s="405">
        <v>4000</v>
      </c>
      <c r="W29" s="405">
        <v>3800</v>
      </c>
      <c r="X29" s="405">
        <v>3900</v>
      </c>
      <c r="Y29" s="405">
        <v>3900</v>
      </c>
      <c r="Z29" s="405">
        <v>4000</v>
      </c>
      <c r="AA29" s="405">
        <v>4000</v>
      </c>
      <c r="AB29" s="405">
        <v>3900</v>
      </c>
      <c r="AC29" s="405">
        <v>3700</v>
      </c>
      <c r="AD29" s="405">
        <v>3500</v>
      </c>
      <c r="AE29" s="405">
        <v>490</v>
      </c>
      <c r="AF29" s="405">
        <v>3500</v>
      </c>
      <c r="AG29" s="405">
        <v>3500</v>
      </c>
      <c r="AH29" s="405">
        <v>3800</v>
      </c>
      <c r="AI29" s="405">
        <v>3800</v>
      </c>
      <c r="AJ29" s="405">
        <v>3600</v>
      </c>
      <c r="AK29" s="405">
        <v>3140</v>
      </c>
      <c r="AL29" s="405">
        <v>2940</v>
      </c>
      <c r="AM29" s="405">
        <v>2853</v>
      </c>
      <c r="AN29" s="405">
        <v>3500</v>
      </c>
      <c r="AO29" s="405">
        <v>2845</v>
      </c>
      <c r="AP29" s="405">
        <v>3145</v>
      </c>
      <c r="AQ29" s="405">
        <v>3130</v>
      </c>
      <c r="AR29" s="405">
        <v>2855</v>
      </c>
      <c r="AS29" s="405">
        <v>2940</v>
      </c>
      <c r="AT29" s="405">
        <v>3015</v>
      </c>
      <c r="AU29" s="402">
        <v>139203</v>
      </c>
    </row>
    <row r="30" spans="1:47">
      <c r="A30" s="525">
        <v>2</v>
      </c>
      <c r="B30" s="525" t="s">
        <v>150</v>
      </c>
      <c r="C30" s="400" t="s">
        <v>140</v>
      </c>
      <c r="D30" s="405">
        <v>13.104906408</v>
      </c>
      <c r="E30" s="405">
        <v>59.567756400000007</v>
      </c>
      <c r="F30" s="405">
        <v>0</v>
      </c>
      <c r="G30" s="405">
        <v>71.48130768</v>
      </c>
      <c r="H30" s="405">
        <v>389.83787244000007</v>
      </c>
      <c r="I30" s="405">
        <v>59.071358430000004</v>
      </c>
      <c r="J30" s="405">
        <v>65.524532040000011</v>
      </c>
      <c r="K30" s="405">
        <v>5.8574960460000005</v>
      </c>
      <c r="L30" s="405">
        <v>20.352316770000002</v>
      </c>
      <c r="M30" s="405">
        <v>39.711837599999996</v>
      </c>
      <c r="N30" s="405">
        <v>18.763843265999999</v>
      </c>
      <c r="O30" s="405">
        <v>60.990763914000006</v>
      </c>
      <c r="P30" s="405">
        <v>83.990536524000007</v>
      </c>
      <c r="Q30" s="405">
        <v>15.487616664000001</v>
      </c>
      <c r="R30" s="405">
        <v>17.605581336000004</v>
      </c>
      <c r="S30" s="405">
        <v>13.502024784000001</v>
      </c>
      <c r="T30" s="405">
        <v>13.899143160000001</v>
      </c>
      <c r="U30" s="405">
        <v>6.0229620360000009</v>
      </c>
      <c r="V30" s="405">
        <v>3.6402517800000007</v>
      </c>
      <c r="W30" s="405">
        <v>0</v>
      </c>
      <c r="X30" s="405">
        <v>0</v>
      </c>
      <c r="Y30" s="405">
        <v>13.899143160000001</v>
      </c>
      <c r="Z30" s="405">
        <v>2.1179646720000003</v>
      </c>
      <c r="AA30" s="405">
        <v>33.357943584000004</v>
      </c>
      <c r="AB30" s="405">
        <v>18.995495651999999</v>
      </c>
      <c r="AC30" s="405">
        <v>89.053795818000012</v>
      </c>
      <c r="AD30" s="405">
        <v>33.093198000000001</v>
      </c>
      <c r="AE30" s="405">
        <v>116.75280254400002</v>
      </c>
      <c r="AF30" s="405">
        <v>0.82732995000000009</v>
      </c>
      <c r="AG30" s="405">
        <v>44.940562884000002</v>
      </c>
      <c r="AH30" s="405">
        <v>10.58982336</v>
      </c>
      <c r="AI30" s="405">
        <v>13.303465596000004</v>
      </c>
      <c r="AJ30" s="405">
        <v>66.517327980000005</v>
      </c>
      <c r="AK30" s="405">
        <v>450.06749280000008</v>
      </c>
      <c r="AL30" s="405">
        <v>240.25661748000005</v>
      </c>
      <c r="AM30" s="405">
        <v>205.1778276</v>
      </c>
      <c r="AN30" s="405">
        <v>235.78903575000001</v>
      </c>
      <c r="AO30" s="405">
        <v>40.208235570000006</v>
      </c>
      <c r="AP30" s="405">
        <v>301.80996576000001</v>
      </c>
      <c r="AQ30" s="405">
        <v>159.17828238000001</v>
      </c>
      <c r="AR30" s="405">
        <v>74.459695500000009</v>
      </c>
      <c r="AS30" s="405">
        <v>492.42678624000001</v>
      </c>
      <c r="AT30" s="405">
        <v>175.62560178600003</v>
      </c>
      <c r="AU30" s="401">
        <v>3776.860501344001</v>
      </c>
    </row>
    <row r="31" spans="1:47" ht="30">
      <c r="A31" s="525"/>
      <c r="B31" s="525"/>
      <c r="C31" s="400" t="s">
        <v>611</v>
      </c>
      <c r="D31" s="405">
        <v>7.92</v>
      </c>
      <c r="E31" s="405">
        <v>36</v>
      </c>
      <c r="F31" s="405">
        <v>0</v>
      </c>
      <c r="G31" s="405">
        <v>43.199999999999996</v>
      </c>
      <c r="H31" s="405">
        <v>235.6</v>
      </c>
      <c r="I31" s="405">
        <v>35.699999999999996</v>
      </c>
      <c r="J31" s="405">
        <v>37.619999999999997</v>
      </c>
      <c r="K31" s="405">
        <v>6.9915000000000003</v>
      </c>
      <c r="L31" s="405">
        <v>23.062499999999996</v>
      </c>
      <c r="M31" s="405">
        <v>46.8</v>
      </c>
      <c r="N31" s="405">
        <v>20.411999999999999</v>
      </c>
      <c r="O31" s="405">
        <v>68.191000000000003</v>
      </c>
      <c r="P31" s="405">
        <v>101.52</v>
      </c>
      <c r="Q31" s="405">
        <v>17.315999999999999</v>
      </c>
      <c r="R31" s="405">
        <v>20.216000000000001</v>
      </c>
      <c r="S31" s="405">
        <v>15.912000000000001</v>
      </c>
      <c r="T31" s="405">
        <v>16.8</v>
      </c>
      <c r="U31" s="405">
        <v>7.28</v>
      </c>
      <c r="V31" s="405">
        <v>4.18</v>
      </c>
      <c r="W31" s="405">
        <v>0</v>
      </c>
      <c r="X31" s="405">
        <v>0</v>
      </c>
      <c r="Y31" s="405">
        <v>16.8</v>
      </c>
      <c r="Z31" s="405">
        <v>2.3679999999999999</v>
      </c>
      <c r="AA31" s="405">
        <v>39.81600000000001</v>
      </c>
      <c r="AB31" s="405">
        <v>22.385999999999996</v>
      </c>
      <c r="AC31" s="405">
        <v>99.566999999999993</v>
      </c>
      <c r="AD31" s="405">
        <v>36</v>
      </c>
      <c r="AE31" s="405">
        <v>2.6107200000000002</v>
      </c>
      <c r="AF31" s="405">
        <v>0.92500000000000004</v>
      </c>
      <c r="AG31" s="405">
        <v>47.53</v>
      </c>
      <c r="AH31" s="405">
        <v>11.52</v>
      </c>
      <c r="AI31" s="405">
        <v>14.472000000000001</v>
      </c>
      <c r="AJ31" s="405">
        <v>76.38</v>
      </c>
      <c r="AK31" s="405">
        <v>277.44</v>
      </c>
      <c r="AL31" s="405">
        <v>146.65200000000002</v>
      </c>
      <c r="AM31" s="405">
        <v>126.48</v>
      </c>
      <c r="AN31" s="405">
        <v>163.875</v>
      </c>
      <c r="AO31" s="405">
        <v>22.501799999999999</v>
      </c>
      <c r="AP31" s="405">
        <v>186.50399999999999</v>
      </c>
      <c r="AQ31" s="405">
        <v>97.883499999999998</v>
      </c>
      <c r="AR31" s="405">
        <v>45.9</v>
      </c>
      <c r="AS31" s="405">
        <v>281.23199999999991</v>
      </c>
      <c r="AT31" s="405">
        <v>107.7321</v>
      </c>
      <c r="AU31" s="402">
        <v>2571.29612</v>
      </c>
    </row>
    <row r="32" spans="1:47" ht="30">
      <c r="A32" s="525"/>
      <c r="B32" s="525"/>
      <c r="C32" s="400" t="s">
        <v>612</v>
      </c>
      <c r="D32" s="405">
        <v>2000</v>
      </c>
      <c r="E32" s="405">
        <v>2000</v>
      </c>
      <c r="F32" s="405">
        <v>0</v>
      </c>
      <c r="G32" s="405">
        <v>2000</v>
      </c>
      <c r="H32" s="405">
        <v>2000</v>
      </c>
      <c r="I32" s="405">
        <v>2000</v>
      </c>
      <c r="J32" s="405">
        <v>1900</v>
      </c>
      <c r="K32" s="405">
        <v>3950</v>
      </c>
      <c r="L32" s="405">
        <v>3750</v>
      </c>
      <c r="M32" s="405">
        <v>3900</v>
      </c>
      <c r="N32" s="405">
        <v>3600</v>
      </c>
      <c r="O32" s="405">
        <v>3700</v>
      </c>
      <c r="P32" s="405">
        <v>4000</v>
      </c>
      <c r="Q32" s="405">
        <v>3700</v>
      </c>
      <c r="R32" s="405">
        <v>3800</v>
      </c>
      <c r="S32" s="405">
        <v>3900</v>
      </c>
      <c r="T32" s="405">
        <v>4000</v>
      </c>
      <c r="U32" s="405">
        <v>4000</v>
      </c>
      <c r="V32" s="405">
        <v>3800</v>
      </c>
      <c r="W32" s="405">
        <v>0</v>
      </c>
      <c r="X32" s="405">
        <v>0</v>
      </c>
      <c r="Y32" s="405">
        <v>4000</v>
      </c>
      <c r="Z32" s="405">
        <v>3700</v>
      </c>
      <c r="AA32" s="405">
        <v>3950</v>
      </c>
      <c r="AB32" s="405">
        <v>3900</v>
      </c>
      <c r="AC32" s="405">
        <v>3700</v>
      </c>
      <c r="AD32" s="405">
        <v>3600</v>
      </c>
      <c r="AE32" s="405">
        <v>74</v>
      </c>
      <c r="AF32" s="405">
        <v>3700</v>
      </c>
      <c r="AG32" s="405">
        <v>3500</v>
      </c>
      <c r="AH32" s="405">
        <v>3600</v>
      </c>
      <c r="AI32" s="405">
        <v>3600</v>
      </c>
      <c r="AJ32" s="405">
        <v>3800</v>
      </c>
      <c r="AK32" s="405">
        <v>2040</v>
      </c>
      <c r="AL32" s="405">
        <v>2020</v>
      </c>
      <c r="AM32" s="405">
        <v>2040</v>
      </c>
      <c r="AN32" s="405">
        <v>2300</v>
      </c>
      <c r="AO32" s="405">
        <v>1852</v>
      </c>
      <c r="AP32" s="405">
        <v>2045</v>
      </c>
      <c r="AQ32" s="405">
        <v>2035</v>
      </c>
      <c r="AR32" s="405">
        <v>2040</v>
      </c>
      <c r="AS32" s="405">
        <v>1890</v>
      </c>
      <c r="AT32" s="405">
        <v>2030</v>
      </c>
      <c r="AU32" s="402">
        <v>119416</v>
      </c>
    </row>
    <row r="33" spans="1:47">
      <c r="A33" s="525">
        <v>3</v>
      </c>
      <c r="B33" s="525" t="s">
        <v>151</v>
      </c>
      <c r="C33" s="400" t="s">
        <v>140</v>
      </c>
      <c r="D33" s="405">
        <v>0</v>
      </c>
      <c r="E33" s="405">
        <v>0</v>
      </c>
      <c r="F33" s="405">
        <v>0</v>
      </c>
      <c r="G33" s="405">
        <v>5.7912356159999998</v>
      </c>
      <c r="H33" s="405">
        <v>56.102595029999996</v>
      </c>
      <c r="I33" s="405">
        <v>0.9048805649999998</v>
      </c>
      <c r="J33" s="405">
        <v>2.7146416950000001</v>
      </c>
      <c r="K33" s="405">
        <v>0</v>
      </c>
      <c r="L33" s="405">
        <v>0</v>
      </c>
      <c r="M33" s="405">
        <v>0</v>
      </c>
      <c r="N33" s="405">
        <v>0</v>
      </c>
      <c r="O33" s="405">
        <v>0</v>
      </c>
      <c r="P33" s="405">
        <v>0</v>
      </c>
      <c r="Q33" s="405">
        <v>0</v>
      </c>
      <c r="R33" s="405">
        <v>0</v>
      </c>
      <c r="S33" s="405">
        <v>0</v>
      </c>
      <c r="T33" s="405">
        <v>0</v>
      </c>
      <c r="U33" s="405">
        <v>0</v>
      </c>
      <c r="V33" s="405">
        <v>0</v>
      </c>
      <c r="W33" s="405">
        <v>0</v>
      </c>
      <c r="X33" s="405">
        <v>0</v>
      </c>
      <c r="Y33" s="405">
        <v>0</v>
      </c>
      <c r="Z33" s="405">
        <v>0</v>
      </c>
      <c r="AA33" s="405">
        <v>0</v>
      </c>
      <c r="AB33" s="405">
        <v>0</v>
      </c>
      <c r="AC33" s="405">
        <v>0</v>
      </c>
      <c r="AD33" s="405">
        <v>0</v>
      </c>
      <c r="AE33" s="405">
        <v>0</v>
      </c>
      <c r="AF33" s="405">
        <v>0</v>
      </c>
      <c r="AG33" s="405">
        <v>0</v>
      </c>
      <c r="AH33" s="405">
        <v>0</v>
      </c>
      <c r="AI33" s="405">
        <v>0</v>
      </c>
      <c r="AJ33" s="405">
        <v>0</v>
      </c>
      <c r="AK33" s="405">
        <v>0</v>
      </c>
      <c r="AL33" s="405">
        <v>0</v>
      </c>
      <c r="AM33" s="405">
        <v>0</v>
      </c>
      <c r="AN33" s="405">
        <v>19.605745575</v>
      </c>
      <c r="AO33" s="405">
        <v>0</v>
      </c>
      <c r="AP33" s="405">
        <v>25.095354336</v>
      </c>
      <c r="AQ33" s="405">
        <v>0</v>
      </c>
      <c r="AR33" s="405">
        <v>0</v>
      </c>
      <c r="AS33" s="405">
        <v>0</v>
      </c>
      <c r="AT33" s="405">
        <v>0</v>
      </c>
      <c r="AU33" s="401">
        <v>110.21445281699999</v>
      </c>
    </row>
    <row r="34" spans="1:47" ht="30">
      <c r="A34" s="525"/>
      <c r="B34" s="525"/>
      <c r="C34" s="400" t="s">
        <v>611</v>
      </c>
      <c r="D34" s="405">
        <v>0</v>
      </c>
      <c r="E34" s="405">
        <v>0</v>
      </c>
      <c r="F34" s="405">
        <v>0</v>
      </c>
      <c r="G34" s="405">
        <v>1.44</v>
      </c>
      <c r="H34" s="405">
        <v>13.670999999999999</v>
      </c>
      <c r="I34" s="405">
        <v>0.21599999999999997</v>
      </c>
      <c r="J34" s="405">
        <v>0.63449999999999995</v>
      </c>
      <c r="K34" s="405">
        <v>0</v>
      </c>
      <c r="L34" s="405">
        <v>0</v>
      </c>
      <c r="M34" s="405">
        <v>0</v>
      </c>
      <c r="N34" s="405">
        <v>0</v>
      </c>
      <c r="O34" s="405">
        <v>0</v>
      </c>
      <c r="P34" s="405">
        <v>0</v>
      </c>
      <c r="Q34" s="405">
        <v>0</v>
      </c>
      <c r="R34" s="405">
        <v>0</v>
      </c>
      <c r="S34" s="405">
        <v>0</v>
      </c>
      <c r="T34" s="405">
        <v>0</v>
      </c>
      <c r="U34" s="405">
        <v>0</v>
      </c>
      <c r="V34" s="405">
        <v>0</v>
      </c>
      <c r="W34" s="405">
        <v>0</v>
      </c>
      <c r="X34" s="405">
        <v>0</v>
      </c>
      <c r="Y34" s="405">
        <v>0</v>
      </c>
      <c r="Z34" s="405">
        <v>0</v>
      </c>
      <c r="AA34" s="405">
        <v>0</v>
      </c>
      <c r="AB34" s="405">
        <v>0</v>
      </c>
      <c r="AC34" s="405">
        <v>0</v>
      </c>
      <c r="AD34" s="405">
        <v>0</v>
      </c>
      <c r="AE34" s="405">
        <v>0</v>
      </c>
      <c r="AF34" s="405">
        <v>0</v>
      </c>
      <c r="AG34" s="405">
        <v>0</v>
      </c>
      <c r="AH34" s="405">
        <v>0</v>
      </c>
      <c r="AI34" s="405">
        <v>0</v>
      </c>
      <c r="AJ34" s="405">
        <v>0</v>
      </c>
      <c r="AK34" s="405">
        <v>0</v>
      </c>
      <c r="AL34" s="405">
        <v>0</v>
      </c>
      <c r="AM34" s="405">
        <v>0</v>
      </c>
      <c r="AN34" s="405">
        <v>7.1174999999999997</v>
      </c>
      <c r="AO34" s="405">
        <v>0</v>
      </c>
      <c r="AP34" s="405">
        <v>9.6096000000000004</v>
      </c>
      <c r="AQ34" s="405">
        <v>0</v>
      </c>
      <c r="AR34" s="405">
        <v>0</v>
      </c>
      <c r="AS34" s="405">
        <v>0</v>
      </c>
      <c r="AT34" s="405">
        <v>0</v>
      </c>
      <c r="AU34" s="402">
        <v>32.688599999999994</v>
      </c>
    </row>
    <row r="35" spans="1:47" ht="30">
      <c r="A35" s="525"/>
      <c r="B35" s="525"/>
      <c r="C35" s="400" t="s">
        <v>612</v>
      </c>
      <c r="D35" s="405">
        <v>0</v>
      </c>
      <c r="E35" s="405">
        <v>0</v>
      </c>
      <c r="F35" s="405">
        <v>0</v>
      </c>
      <c r="G35" s="405">
        <v>500</v>
      </c>
      <c r="H35" s="405">
        <v>490</v>
      </c>
      <c r="I35" s="405">
        <v>480</v>
      </c>
      <c r="J35" s="405">
        <v>470</v>
      </c>
      <c r="K35" s="405">
        <v>0</v>
      </c>
      <c r="L35" s="405">
        <v>0</v>
      </c>
      <c r="M35" s="405"/>
      <c r="N35" s="405">
        <v>0</v>
      </c>
      <c r="O35" s="405">
        <v>0</v>
      </c>
      <c r="P35" s="405">
        <v>0</v>
      </c>
      <c r="Q35" s="405">
        <v>0</v>
      </c>
      <c r="R35" s="405">
        <v>0</v>
      </c>
      <c r="S35" s="405">
        <v>0</v>
      </c>
      <c r="T35" s="405">
        <v>0</v>
      </c>
      <c r="U35" s="405">
        <v>0</v>
      </c>
      <c r="V35" s="405">
        <v>0</v>
      </c>
      <c r="W35" s="405">
        <v>0</v>
      </c>
      <c r="X35" s="405">
        <v>0</v>
      </c>
      <c r="Y35" s="405">
        <v>0</v>
      </c>
      <c r="Z35" s="405">
        <v>0</v>
      </c>
      <c r="AA35" s="405">
        <v>0</v>
      </c>
      <c r="AB35" s="405">
        <v>0</v>
      </c>
      <c r="AC35" s="405">
        <v>0</v>
      </c>
      <c r="AD35" s="405"/>
      <c r="AE35" s="405">
        <v>0</v>
      </c>
      <c r="AF35" s="405">
        <v>0</v>
      </c>
      <c r="AG35" s="405">
        <v>0</v>
      </c>
      <c r="AH35" s="405">
        <v>0</v>
      </c>
      <c r="AI35" s="405">
        <v>0</v>
      </c>
      <c r="AJ35" s="405">
        <v>0</v>
      </c>
      <c r="AK35" s="405">
        <v>0</v>
      </c>
      <c r="AL35" s="405">
        <v>0</v>
      </c>
      <c r="AM35" s="405"/>
      <c r="AN35" s="405">
        <v>730</v>
      </c>
      <c r="AO35" s="405">
        <v>0</v>
      </c>
      <c r="AP35" s="405">
        <v>770</v>
      </c>
      <c r="AQ35" s="405">
        <v>0</v>
      </c>
      <c r="AR35" s="405">
        <v>0</v>
      </c>
      <c r="AS35" s="405">
        <v>0</v>
      </c>
      <c r="AT35" s="405">
        <v>0</v>
      </c>
      <c r="AU35" s="402">
        <v>3440</v>
      </c>
    </row>
    <row r="36" spans="1:47">
      <c r="A36" s="525">
        <v>4</v>
      </c>
      <c r="B36" s="525" t="s">
        <v>152</v>
      </c>
      <c r="C36" s="400" t="s">
        <v>140</v>
      </c>
      <c r="D36" s="405">
        <v>0</v>
      </c>
      <c r="E36" s="405">
        <v>10.4405763</v>
      </c>
      <c r="F36" s="405">
        <v>1.8982866</v>
      </c>
      <c r="G36" s="405">
        <v>17.767962575999999</v>
      </c>
      <c r="H36" s="405">
        <v>14.711721149999999</v>
      </c>
      <c r="I36" s="405">
        <v>0.56948598000000006</v>
      </c>
      <c r="J36" s="405">
        <v>0.64067172750000001</v>
      </c>
      <c r="K36" s="405">
        <v>2.2399781879999998</v>
      </c>
      <c r="L36" s="405">
        <v>1.1674462590000001</v>
      </c>
      <c r="M36" s="405">
        <v>0</v>
      </c>
      <c r="N36" s="405">
        <v>0.76880607300000015</v>
      </c>
      <c r="O36" s="405">
        <v>9.2066900099999991</v>
      </c>
      <c r="P36" s="405">
        <v>0</v>
      </c>
      <c r="Q36" s="405">
        <v>0</v>
      </c>
      <c r="R36" s="405">
        <v>0</v>
      </c>
      <c r="S36" s="405">
        <v>3.2270872200000005</v>
      </c>
      <c r="T36" s="405">
        <v>3.9864018600000004</v>
      </c>
      <c r="U36" s="405">
        <v>0</v>
      </c>
      <c r="V36" s="405">
        <v>2.0881152600000004</v>
      </c>
      <c r="W36" s="405">
        <v>2.581669776</v>
      </c>
      <c r="X36" s="405">
        <v>1.8508294350000003</v>
      </c>
      <c r="Y36" s="405">
        <v>0.79728037200000001</v>
      </c>
      <c r="Z36" s="405">
        <v>0.60745171200000003</v>
      </c>
      <c r="AA36" s="405">
        <v>2.6576012400000004</v>
      </c>
      <c r="AB36" s="405">
        <v>3.8914875299999996</v>
      </c>
      <c r="AC36" s="405">
        <v>16.809327842999998</v>
      </c>
      <c r="AD36" s="405">
        <v>9.4914330000000007</v>
      </c>
      <c r="AE36" s="405">
        <v>4.7836822320000003</v>
      </c>
      <c r="AF36" s="405">
        <v>0.18982866000000001</v>
      </c>
      <c r="AG36" s="405">
        <v>4.6033450049999995</v>
      </c>
      <c r="AH36" s="405">
        <v>0.60745171200000003</v>
      </c>
      <c r="AI36" s="405">
        <v>1.2718520220000002</v>
      </c>
      <c r="AJ36" s="405">
        <v>1.2718520220000002</v>
      </c>
      <c r="AK36" s="405">
        <v>7.5931464000000002</v>
      </c>
      <c r="AL36" s="405">
        <v>40.718247570000003</v>
      </c>
      <c r="AM36" s="405">
        <v>162.30350430000001</v>
      </c>
      <c r="AN36" s="405">
        <v>32.033586374999999</v>
      </c>
      <c r="AO36" s="405">
        <v>23.832988263000004</v>
      </c>
      <c r="AP36" s="405">
        <v>63.782429760000007</v>
      </c>
      <c r="AQ36" s="405">
        <v>24.582811469999999</v>
      </c>
      <c r="AR36" s="405">
        <v>10.25074764</v>
      </c>
      <c r="AS36" s="405">
        <v>92.940111936000008</v>
      </c>
      <c r="AT36" s="405">
        <v>2.4772640130000001</v>
      </c>
      <c r="AU36" s="401">
        <v>580.64315949150011</v>
      </c>
    </row>
    <row r="37" spans="1:47" ht="30">
      <c r="A37" s="525"/>
      <c r="B37" s="525"/>
      <c r="C37" s="400" t="s">
        <v>611</v>
      </c>
      <c r="D37" s="405">
        <v>0</v>
      </c>
      <c r="E37" s="405">
        <v>8.8000000000000007</v>
      </c>
      <c r="F37" s="405">
        <v>1.6</v>
      </c>
      <c r="G37" s="405">
        <v>14.976000000000001</v>
      </c>
      <c r="H37" s="405">
        <v>12.09</v>
      </c>
      <c r="I37" s="405">
        <v>0.45</v>
      </c>
      <c r="J37" s="405">
        <v>0.50625000000000009</v>
      </c>
      <c r="K37" s="405">
        <v>2.36</v>
      </c>
      <c r="L37" s="405">
        <v>0.98399999999999999</v>
      </c>
      <c r="M37" s="405">
        <v>0</v>
      </c>
      <c r="N37" s="405">
        <v>0.81</v>
      </c>
      <c r="O37" s="405">
        <v>10.67</v>
      </c>
      <c r="P37" s="405">
        <v>0</v>
      </c>
      <c r="Q37" s="405">
        <v>0</v>
      </c>
      <c r="R37" s="405">
        <v>0</v>
      </c>
      <c r="S37" s="405">
        <v>4.08</v>
      </c>
      <c r="T37" s="405">
        <v>2.94</v>
      </c>
      <c r="U37" s="405">
        <v>0</v>
      </c>
      <c r="V37" s="405">
        <v>1.7600000000000002</v>
      </c>
      <c r="W37" s="405">
        <v>1.6320000000000001</v>
      </c>
      <c r="X37" s="405">
        <v>1.3650000000000002</v>
      </c>
      <c r="Y37" s="405">
        <v>0.58799999999999997</v>
      </c>
      <c r="Z37" s="405">
        <v>0.44800000000000001</v>
      </c>
      <c r="AA37" s="405">
        <v>3.6400000000000006</v>
      </c>
      <c r="AB37" s="405">
        <v>4.0999999999999996</v>
      </c>
      <c r="AC37" s="405">
        <v>21.251999999999999</v>
      </c>
      <c r="AD37" s="405">
        <v>11</v>
      </c>
      <c r="AE37" s="405">
        <v>5.04</v>
      </c>
      <c r="AF37" s="405">
        <v>0.2</v>
      </c>
      <c r="AG37" s="405">
        <v>4.8499999999999996</v>
      </c>
      <c r="AH37" s="405">
        <v>0.70399999999999996</v>
      </c>
      <c r="AI37" s="405">
        <v>1.6080000000000001</v>
      </c>
      <c r="AJ37" s="405">
        <v>1.6080000000000001</v>
      </c>
      <c r="AK37" s="405">
        <v>9.52</v>
      </c>
      <c r="AL37" s="405">
        <v>51.265500000000003</v>
      </c>
      <c r="AM37" s="405">
        <v>206.91</v>
      </c>
      <c r="AN37" s="405">
        <v>40.162500000000001</v>
      </c>
      <c r="AO37" s="405">
        <v>30.05667</v>
      </c>
      <c r="AP37" s="405">
        <v>79.968000000000004</v>
      </c>
      <c r="AQ37" s="405">
        <v>30.821000000000002</v>
      </c>
      <c r="AR37" s="405">
        <v>12.906000000000001</v>
      </c>
      <c r="AS37" s="405">
        <v>117.89568000000001</v>
      </c>
      <c r="AT37" s="405">
        <v>3.1267799999999997</v>
      </c>
      <c r="AU37" s="402">
        <v>702.69338000000005</v>
      </c>
    </row>
    <row r="38" spans="1:47" ht="30">
      <c r="A38" s="525"/>
      <c r="B38" s="525"/>
      <c r="C38" s="400" t="s">
        <v>612</v>
      </c>
      <c r="D38" s="405">
        <v>0</v>
      </c>
      <c r="E38" s="405">
        <v>800</v>
      </c>
      <c r="F38" s="405">
        <v>800</v>
      </c>
      <c r="G38" s="405">
        <v>800</v>
      </c>
      <c r="H38" s="405">
        <v>780</v>
      </c>
      <c r="I38" s="405">
        <v>750</v>
      </c>
      <c r="J38" s="405">
        <v>750</v>
      </c>
      <c r="K38" s="405">
        <v>1000</v>
      </c>
      <c r="L38" s="405">
        <v>800</v>
      </c>
      <c r="M38" s="405"/>
      <c r="N38" s="405">
        <v>1000</v>
      </c>
      <c r="O38" s="405">
        <v>1100</v>
      </c>
      <c r="P38" s="405">
        <v>0</v>
      </c>
      <c r="Q38" s="405">
        <v>0</v>
      </c>
      <c r="R38" s="405">
        <v>0</v>
      </c>
      <c r="S38" s="405">
        <v>1200</v>
      </c>
      <c r="T38" s="405">
        <v>700</v>
      </c>
      <c r="U38" s="405">
        <v>0</v>
      </c>
      <c r="V38" s="405">
        <v>800</v>
      </c>
      <c r="W38" s="405">
        <v>600</v>
      </c>
      <c r="X38" s="405">
        <v>700</v>
      </c>
      <c r="Y38" s="405">
        <v>700</v>
      </c>
      <c r="Z38" s="405">
        <v>700</v>
      </c>
      <c r="AA38" s="405">
        <v>1300</v>
      </c>
      <c r="AB38" s="405">
        <v>1000</v>
      </c>
      <c r="AC38" s="405">
        <v>1200</v>
      </c>
      <c r="AD38" s="405">
        <v>1100</v>
      </c>
      <c r="AE38" s="405">
        <v>1000</v>
      </c>
      <c r="AF38" s="405">
        <v>1000</v>
      </c>
      <c r="AG38" s="405">
        <v>1000</v>
      </c>
      <c r="AH38" s="405">
        <v>1100</v>
      </c>
      <c r="AI38" s="405">
        <v>1200</v>
      </c>
      <c r="AJ38" s="405">
        <v>1200</v>
      </c>
      <c r="AK38" s="405">
        <v>1190</v>
      </c>
      <c r="AL38" s="405">
        <v>1195</v>
      </c>
      <c r="AM38" s="405">
        <v>1210</v>
      </c>
      <c r="AN38" s="405">
        <v>1190</v>
      </c>
      <c r="AO38" s="405">
        <v>1197</v>
      </c>
      <c r="AP38" s="405">
        <v>1190</v>
      </c>
      <c r="AQ38" s="405">
        <v>1190</v>
      </c>
      <c r="AR38" s="405">
        <v>1195</v>
      </c>
      <c r="AS38" s="405">
        <v>1204</v>
      </c>
      <c r="AT38" s="405">
        <v>1198</v>
      </c>
      <c r="AU38" s="402">
        <v>37039</v>
      </c>
    </row>
    <row r="39" spans="1:47">
      <c r="A39" s="525">
        <v>5</v>
      </c>
      <c r="B39" s="525" t="s">
        <v>153</v>
      </c>
      <c r="C39" s="400" t="s">
        <v>140</v>
      </c>
      <c r="D39" s="405">
        <v>16.952009183999998</v>
      </c>
      <c r="E39" s="405">
        <v>96.318234000000004</v>
      </c>
      <c r="F39" s="405">
        <v>17.1232416</v>
      </c>
      <c r="G39" s="405">
        <v>47.773844064000002</v>
      </c>
      <c r="H39" s="405">
        <v>13.270512239999999</v>
      </c>
      <c r="I39" s="405">
        <v>1.4447735099999999</v>
      </c>
      <c r="J39" s="405">
        <v>0.72238675500000005</v>
      </c>
      <c r="K39" s="405">
        <v>0</v>
      </c>
      <c r="L39" s="405">
        <v>0</v>
      </c>
      <c r="M39" s="405">
        <v>0</v>
      </c>
      <c r="N39" s="405">
        <v>1.7337282120000002</v>
      </c>
      <c r="O39" s="405">
        <v>15.571447829999999</v>
      </c>
      <c r="P39" s="405">
        <v>3.0179713319999997</v>
      </c>
      <c r="Q39" s="405">
        <v>0</v>
      </c>
      <c r="R39" s="405">
        <v>0</v>
      </c>
      <c r="S39" s="405">
        <v>0</v>
      </c>
      <c r="T39" s="405">
        <v>0</v>
      </c>
      <c r="U39" s="405">
        <v>0</v>
      </c>
      <c r="V39" s="405">
        <v>0</v>
      </c>
      <c r="W39" s="405">
        <v>0</v>
      </c>
      <c r="X39" s="405">
        <v>0</v>
      </c>
      <c r="Y39" s="405">
        <v>0</v>
      </c>
      <c r="Z39" s="405">
        <v>0</v>
      </c>
      <c r="AA39" s="405">
        <v>0</v>
      </c>
      <c r="AB39" s="405">
        <v>0</v>
      </c>
      <c r="AC39" s="405">
        <v>57.106010736000002</v>
      </c>
      <c r="AD39" s="405">
        <v>3.2106077999999996</v>
      </c>
      <c r="AE39" s="405">
        <v>1.7979403679999999</v>
      </c>
      <c r="AF39" s="405">
        <v>0.10702026000000001</v>
      </c>
      <c r="AG39" s="405">
        <v>2.076193044</v>
      </c>
      <c r="AH39" s="405">
        <v>0.171232416</v>
      </c>
      <c r="AI39" s="405">
        <v>0</v>
      </c>
      <c r="AJ39" s="405">
        <v>0.71703574200000009</v>
      </c>
      <c r="AK39" s="405">
        <v>8.5616208</v>
      </c>
      <c r="AL39" s="405">
        <v>24.721680060000001</v>
      </c>
      <c r="AM39" s="405">
        <v>144.477351</v>
      </c>
      <c r="AN39" s="405">
        <v>12.03977925</v>
      </c>
      <c r="AO39" s="405">
        <v>13.869825696000001</v>
      </c>
      <c r="AP39" s="405">
        <v>77.0545872</v>
      </c>
      <c r="AQ39" s="405">
        <v>27.718247339999998</v>
      </c>
      <c r="AR39" s="405">
        <v>6.7422763799999998</v>
      </c>
      <c r="AS39" s="405">
        <v>59.588880767999996</v>
      </c>
      <c r="AT39" s="405">
        <v>8.3796863580000007</v>
      </c>
      <c r="AU39" s="401">
        <v>662.26812394499996</v>
      </c>
    </row>
    <row r="40" spans="1:47" ht="30">
      <c r="A40" s="525"/>
      <c r="B40" s="525"/>
      <c r="C40" s="400" t="s">
        <v>611</v>
      </c>
      <c r="D40" s="405">
        <v>7.92</v>
      </c>
      <c r="E40" s="405">
        <v>45</v>
      </c>
      <c r="F40" s="405">
        <v>8</v>
      </c>
      <c r="G40" s="405">
        <v>22.32</v>
      </c>
      <c r="H40" s="405">
        <v>6.2</v>
      </c>
      <c r="I40" s="405">
        <v>0.64799999999999991</v>
      </c>
      <c r="J40" s="405">
        <v>0.32062499999999999</v>
      </c>
      <c r="K40" s="405">
        <v>0</v>
      </c>
      <c r="L40" s="405">
        <v>0</v>
      </c>
      <c r="M40" s="405">
        <v>0</v>
      </c>
      <c r="N40" s="405">
        <v>0.81</v>
      </c>
      <c r="O40" s="405">
        <v>10.185</v>
      </c>
      <c r="P40" s="405">
        <v>1.974</v>
      </c>
      <c r="Q40" s="405">
        <v>0</v>
      </c>
      <c r="R40" s="405">
        <v>0</v>
      </c>
      <c r="S40" s="405">
        <v>0</v>
      </c>
      <c r="T40" s="405">
        <v>0</v>
      </c>
      <c r="U40" s="405">
        <v>0</v>
      </c>
      <c r="V40" s="405">
        <v>0</v>
      </c>
      <c r="W40" s="405">
        <v>0</v>
      </c>
      <c r="X40" s="405">
        <v>0</v>
      </c>
      <c r="Y40" s="405">
        <v>0</v>
      </c>
      <c r="Z40" s="405">
        <v>0</v>
      </c>
      <c r="AA40" s="405">
        <v>0</v>
      </c>
      <c r="AB40" s="405">
        <v>0</v>
      </c>
      <c r="AC40" s="405">
        <v>29.347999999999999</v>
      </c>
      <c r="AD40" s="405">
        <v>1.8</v>
      </c>
      <c r="AE40" s="405">
        <v>1.008</v>
      </c>
      <c r="AF40" s="405">
        <v>0.06</v>
      </c>
      <c r="AG40" s="405">
        <v>1.1639999999999999</v>
      </c>
      <c r="AH40" s="405">
        <v>0.08</v>
      </c>
      <c r="AI40" s="405">
        <v>0</v>
      </c>
      <c r="AJ40" s="405">
        <v>0.46899999999999997</v>
      </c>
      <c r="AK40" s="405">
        <v>7.28</v>
      </c>
      <c r="AL40" s="405">
        <v>20.79</v>
      </c>
      <c r="AM40" s="405">
        <v>121.23</v>
      </c>
      <c r="AN40" s="405">
        <v>10.012499999999999</v>
      </c>
      <c r="AO40" s="405">
        <v>11.534400000000002</v>
      </c>
      <c r="AP40" s="405">
        <v>64.08</v>
      </c>
      <c r="AQ40" s="405">
        <v>23.050999999999998</v>
      </c>
      <c r="AR40" s="405">
        <v>5.6384999999999996</v>
      </c>
      <c r="AS40" s="405">
        <v>49.555199999999999</v>
      </c>
      <c r="AT40" s="405">
        <v>7.7516999999999996</v>
      </c>
      <c r="AU40" s="402">
        <v>458.22992500000009</v>
      </c>
    </row>
    <row r="41" spans="1:47" ht="30">
      <c r="A41" s="525"/>
      <c r="B41" s="525"/>
      <c r="C41" s="400" t="s">
        <v>612</v>
      </c>
      <c r="D41" s="405">
        <v>500</v>
      </c>
      <c r="E41" s="405">
        <v>500</v>
      </c>
      <c r="F41" s="405">
        <v>500</v>
      </c>
      <c r="G41" s="405">
        <v>500</v>
      </c>
      <c r="H41" s="405">
        <v>500</v>
      </c>
      <c r="I41" s="405">
        <v>480</v>
      </c>
      <c r="J41" s="405">
        <v>475</v>
      </c>
      <c r="K41" s="405">
        <v>0</v>
      </c>
      <c r="L41" s="405">
        <v>0</v>
      </c>
      <c r="M41" s="405"/>
      <c r="N41" s="405">
        <v>500</v>
      </c>
      <c r="O41" s="405">
        <v>700</v>
      </c>
      <c r="P41" s="405">
        <v>700</v>
      </c>
      <c r="Q41" s="405">
        <v>0</v>
      </c>
      <c r="R41" s="405">
        <v>0</v>
      </c>
      <c r="S41" s="405">
        <v>0</v>
      </c>
      <c r="T41" s="405">
        <v>0</v>
      </c>
      <c r="U41" s="405">
        <v>0</v>
      </c>
      <c r="V41" s="405">
        <v>0</v>
      </c>
      <c r="W41" s="405">
        <v>0</v>
      </c>
      <c r="X41" s="405">
        <v>0</v>
      </c>
      <c r="Y41" s="405">
        <v>0</v>
      </c>
      <c r="Z41" s="405">
        <v>0</v>
      </c>
      <c r="AA41" s="405">
        <v>0</v>
      </c>
      <c r="AB41" s="405">
        <v>0</v>
      </c>
      <c r="AC41" s="405">
        <v>550</v>
      </c>
      <c r="AD41" s="405">
        <v>600</v>
      </c>
      <c r="AE41" s="405">
        <v>600</v>
      </c>
      <c r="AF41" s="405">
        <v>600</v>
      </c>
      <c r="AG41" s="405">
        <v>600</v>
      </c>
      <c r="AH41" s="405">
        <v>500</v>
      </c>
      <c r="AI41" s="405">
        <v>0</v>
      </c>
      <c r="AJ41" s="405">
        <v>700</v>
      </c>
      <c r="AK41" s="405">
        <v>910</v>
      </c>
      <c r="AL41" s="405">
        <v>900</v>
      </c>
      <c r="AM41" s="405">
        <v>898</v>
      </c>
      <c r="AN41" s="405">
        <v>890</v>
      </c>
      <c r="AO41" s="405">
        <v>890</v>
      </c>
      <c r="AP41" s="405">
        <v>890</v>
      </c>
      <c r="AQ41" s="405">
        <v>890</v>
      </c>
      <c r="AR41" s="405">
        <v>895</v>
      </c>
      <c r="AS41" s="405">
        <v>890</v>
      </c>
      <c r="AT41" s="405">
        <v>990</v>
      </c>
      <c r="AU41" s="402">
        <v>18548</v>
      </c>
    </row>
    <row r="42" spans="1:47">
      <c r="A42" s="525">
        <v>6</v>
      </c>
      <c r="B42" s="525" t="s">
        <v>154</v>
      </c>
      <c r="C42" s="400" t="s">
        <v>140</v>
      </c>
      <c r="D42" s="405">
        <v>0</v>
      </c>
      <c r="E42" s="405">
        <v>0</v>
      </c>
      <c r="F42" s="405">
        <v>0</v>
      </c>
      <c r="G42" s="405">
        <v>0</v>
      </c>
      <c r="H42" s="405">
        <v>0</v>
      </c>
      <c r="I42" s="405">
        <v>0</v>
      </c>
      <c r="J42" s="405">
        <v>0</v>
      </c>
      <c r="K42" s="405">
        <v>2.5326345899999998</v>
      </c>
      <c r="L42" s="405">
        <v>0</v>
      </c>
      <c r="M42" s="405">
        <v>0</v>
      </c>
      <c r="N42" s="405">
        <v>3.4770068100000007</v>
      </c>
      <c r="O42" s="405">
        <v>149.89762691999999</v>
      </c>
      <c r="P42" s="405">
        <v>4.0350449399999988</v>
      </c>
      <c r="Q42" s="405">
        <v>0</v>
      </c>
      <c r="R42" s="405">
        <v>0</v>
      </c>
      <c r="S42" s="405">
        <v>1.751381208</v>
      </c>
      <c r="T42" s="405">
        <v>3.6057848400000001</v>
      </c>
      <c r="U42" s="405">
        <v>0</v>
      </c>
      <c r="V42" s="405">
        <v>0.9443722200000001</v>
      </c>
      <c r="W42" s="405">
        <v>2.9189686799999999</v>
      </c>
      <c r="X42" s="405">
        <v>1.6741143900000002</v>
      </c>
      <c r="Y42" s="405">
        <v>1.8028924200000001</v>
      </c>
      <c r="Z42" s="405">
        <v>0.54945292800000001</v>
      </c>
      <c r="AA42" s="405">
        <v>2.4038565600000004</v>
      </c>
      <c r="AB42" s="405">
        <v>3.5199328199999993</v>
      </c>
      <c r="AC42" s="405">
        <v>1.9745964600000001</v>
      </c>
      <c r="AD42" s="405">
        <v>4.2926010000000003</v>
      </c>
      <c r="AE42" s="405">
        <v>5.0480987759999998</v>
      </c>
      <c r="AF42" s="405">
        <v>0.34340808</v>
      </c>
      <c r="AG42" s="405">
        <v>2.4982937819999997</v>
      </c>
      <c r="AH42" s="405">
        <v>0.137363232</v>
      </c>
      <c r="AI42" s="405">
        <v>2.3008341360000002</v>
      </c>
      <c r="AJ42" s="405">
        <v>0.57520853400000005</v>
      </c>
      <c r="AK42" s="405">
        <v>0</v>
      </c>
      <c r="AL42" s="405">
        <v>0</v>
      </c>
      <c r="AM42" s="405">
        <v>0</v>
      </c>
      <c r="AN42" s="405">
        <v>0</v>
      </c>
      <c r="AO42" s="405">
        <v>0</v>
      </c>
      <c r="AP42" s="405">
        <v>0</v>
      </c>
      <c r="AQ42" s="405">
        <v>0</v>
      </c>
      <c r="AR42" s="405">
        <v>0</v>
      </c>
      <c r="AS42" s="405">
        <v>0</v>
      </c>
      <c r="AT42" s="405">
        <v>0</v>
      </c>
      <c r="AU42" s="401">
        <v>196.28347332599998</v>
      </c>
    </row>
    <row r="43" spans="1:47" ht="30">
      <c r="A43" s="525"/>
      <c r="B43" s="525"/>
      <c r="C43" s="400" t="s">
        <v>611</v>
      </c>
      <c r="D43" s="405">
        <v>0</v>
      </c>
      <c r="E43" s="405">
        <v>0</v>
      </c>
      <c r="F43" s="405">
        <v>0</v>
      </c>
      <c r="G43" s="405">
        <v>0</v>
      </c>
      <c r="H43" s="405">
        <v>0</v>
      </c>
      <c r="I43" s="405">
        <v>0</v>
      </c>
      <c r="J43" s="405">
        <v>0</v>
      </c>
      <c r="K43" s="405">
        <v>1.5929999999999997</v>
      </c>
      <c r="L43" s="405">
        <v>0</v>
      </c>
      <c r="M43" s="405">
        <v>0</v>
      </c>
      <c r="N43" s="405">
        <v>1.2150000000000003</v>
      </c>
      <c r="O43" s="405">
        <v>87.3</v>
      </c>
      <c r="P43" s="405">
        <v>3.2899999999999996</v>
      </c>
      <c r="Q43" s="405">
        <v>0</v>
      </c>
      <c r="R43" s="405">
        <v>0</v>
      </c>
      <c r="S43" s="405">
        <v>1.224</v>
      </c>
      <c r="T43" s="405">
        <v>2.52</v>
      </c>
      <c r="U43" s="405">
        <v>0</v>
      </c>
      <c r="V43" s="405">
        <v>0.55000000000000004</v>
      </c>
      <c r="W43" s="405">
        <v>1.7000000000000002</v>
      </c>
      <c r="X43" s="405">
        <v>0.78000000000000014</v>
      </c>
      <c r="Y43" s="405">
        <v>1.26</v>
      </c>
      <c r="Z43" s="405">
        <v>1.3824000000000001</v>
      </c>
      <c r="AA43" s="405">
        <v>1.6800000000000002</v>
      </c>
      <c r="AB43" s="405">
        <v>2.0499999999999998</v>
      </c>
      <c r="AC43" s="405">
        <v>0.92000000000000015</v>
      </c>
      <c r="AD43" s="405">
        <v>2</v>
      </c>
      <c r="AE43" s="405">
        <v>2.6459999999999999</v>
      </c>
      <c r="AF43" s="405">
        <v>0.18</v>
      </c>
      <c r="AG43" s="405">
        <v>0.873</v>
      </c>
      <c r="AH43" s="405">
        <v>6.4000000000000001E-2</v>
      </c>
      <c r="AI43" s="405">
        <v>1.0720000000000001</v>
      </c>
      <c r="AJ43" s="405">
        <v>0.30149999999999999</v>
      </c>
      <c r="AK43" s="405">
        <v>0</v>
      </c>
      <c r="AL43" s="405">
        <v>0</v>
      </c>
      <c r="AM43" s="405">
        <v>0</v>
      </c>
      <c r="AN43" s="405">
        <v>0</v>
      </c>
      <c r="AO43" s="405">
        <v>0</v>
      </c>
      <c r="AP43" s="405">
        <v>0</v>
      </c>
      <c r="AQ43" s="405">
        <v>0</v>
      </c>
      <c r="AR43" s="405">
        <v>0</v>
      </c>
      <c r="AS43" s="405">
        <v>0</v>
      </c>
      <c r="AT43" s="405">
        <v>0</v>
      </c>
      <c r="AU43" s="402">
        <v>114.60090000000004</v>
      </c>
    </row>
    <row r="44" spans="1:47" ht="30">
      <c r="A44" s="525"/>
      <c r="B44" s="525"/>
      <c r="C44" s="400" t="s">
        <v>612</v>
      </c>
      <c r="D44" s="405">
        <v>0</v>
      </c>
      <c r="E44" s="405"/>
      <c r="F44" s="405"/>
      <c r="G44" s="405">
        <v>0</v>
      </c>
      <c r="H44" s="405">
        <v>0</v>
      </c>
      <c r="I44" s="405">
        <v>0</v>
      </c>
      <c r="J44" s="405">
        <v>0</v>
      </c>
      <c r="K44" s="405">
        <v>540</v>
      </c>
      <c r="L44" s="405">
        <v>0</v>
      </c>
      <c r="M44" s="405"/>
      <c r="N44" s="405">
        <v>300</v>
      </c>
      <c r="O44" s="405">
        <v>500</v>
      </c>
      <c r="P44" s="405">
        <v>700</v>
      </c>
      <c r="Q44" s="405">
        <v>0</v>
      </c>
      <c r="R44" s="405">
        <v>0</v>
      </c>
      <c r="S44" s="405">
        <v>600</v>
      </c>
      <c r="T44" s="405">
        <v>600</v>
      </c>
      <c r="U44" s="405">
        <v>0</v>
      </c>
      <c r="V44" s="405">
        <v>500</v>
      </c>
      <c r="W44" s="405">
        <v>500</v>
      </c>
      <c r="X44" s="405">
        <v>400</v>
      </c>
      <c r="Y44" s="405">
        <v>600</v>
      </c>
      <c r="Z44" s="405">
        <v>2160</v>
      </c>
      <c r="AA44" s="405">
        <v>600</v>
      </c>
      <c r="AB44" s="405">
        <v>500</v>
      </c>
      <c r="AC44" s="405">
        <v>400</v>
      </c>
      <c r="AD44" s="405">
        <v>400</v>
      </c>
      <c r="AE44" s="405">
        <v>450</v>
      </c>
      <c r="AF44" s="405">
        <v>450</v>
      </c>
      <c r="AG44" s="405">
        <v>300</v>
      </c>
      <c r="AH44" s="405">
        <v>400</v>
      </c>
      <c r="AI44" s="405">
        <v>400</v>
      </c>
      <c r="AJ44" s="405">
        <v>450</v>
      </c>
      <c r="AK44" s="405">
        <v>0</v>
      </c>
      <c r="AL44" s="405">
        <v>0</v>
      </c>
      <c r="AM44" s="405"/>
      <c r="AN44" s="405">
        <v>0</v>
      </c>
      <c r="AO44" s="405">
        <v>0</v>
      </c>
      <c r="AP44" s="405">
        <v>0</v>
      </c>
      <c r="AQ44" s="405">
        <v>0</v>
      </c>
      <c r="AR44" s="405">
        <v>0</v>
      </c>
      <c r="AS44" s="405">
        <v>0</v>
      </c>
      <c r="AT44" s="405">
        <v>0</v>
      </c>
      <c r="AU44" s="402">
        <v>11750</v>
      </c>
    </row>
    <row r="46" spans="1:47">
      <c r="C46" s="399" t="s">
        <v>138</v>
      </c>
      <c r="D46" s="397">
        <f>D5+D8+D11+D14+D17+D20+D23</f>
        <v>653.45940000000007</v>
      </c>
      <c r="E46" s="397">
        <f t="shared" ref="E46:AT46" si="0">E5+E8+E11+E14+E17+E20+E23</f>
        <v>785.44669999999996</v>
      </c>
      <c r="F46" s="397">
        <f t="shared" si="0"/>
        <v>327.51249999999999</v>
      </c>
      <c r="G46" s="397">
        <f t="shared" si="0"/>
        <v>1363.1623199999999</v>
      </c>
      <c r="H46" s="397">
        <f t="shared" si="0"/>
        <v>765.37883999999997</v>
      </c>
      <c r="I46" s="397">
        <f t="shared" si="0"/>
        <v>114.816</v>
      </c>
      <c r="J46" s="397">
        <f t="shared" si="0"/>
        <v>99.900855000000007</v>
      </c>
      <c r="K46" s="397">
        <f t="shared" si="0"/>
        <v>210.60876000000002</v>
      </c>
      <c r="L46" s="397">
        <f t="shared" si="0"/>
        <v>147.87289600000003</v>
      </c>
      <c r="M46" s="397">
        <f t="shared" si="0"/>
        <v>154.33470000000003</v>
      </c>
      <c r="N46" s="397">
        <f t="shared" si="0"/>
        <v>950.05175400000007</v>
      </c>
      <c r="O46" s="397">
        <f t="shared" si="0"/>
        <v>940.76788599999998</v>
      </c>
      <c r="P46" s="397">
        <f t="shared" si="0"/>
        <v>272.99056999999999</v>
      </c>
      <c r="Q46" s="397">
        <f t="shared" si="0"/>
        <v>175.37746200000001</v>
      </c>
      <c r="R46" s="397">
        <f t="shared" si="0"/>
        <v>143.576806</v>
      </c>
      <c r="S46" s="397">
        <f t="shared" si="0"/>
        <v>235.047168</v>
      </c>
      <c r="T46" s="397">
        <f t="shared" si="0"/>
        <v>283.01783999999998</v>
      </c>
      <c r="U46" s="397">
        <f t="shared" si="0"/>
        <v>99.130745999999988</v>
      </c>
      <c r="V46" s="397">
        <f t="shared" si="0"/>
        <v>104.45245799999999</v>
      </c>
      <c r="W46" s="397">
        <f t="shared" si="0"/>
        <v>113.02796800000002</v>
      </c>
      <c r="X46" s="397">
        <f t="shared" si="0"/>
        <v>60.525542999999999</v>
      </c>
      <c r="Y46" s="397">
        <f t="shared" si="0"/>
        <v>111.07651800000001</v>
      </c>
      <c r="Z46" s="397">
        <f t="shared" si="0"/>
        <v>46.758848000000008</v>
      </c>
      <c r="AA46" s="397">
        <f t="shared" si="0"/>
        <v>111.33186400000001</v>
      </c>
      <c r="AB46" s="397">
        <f t="shared" si="0"/>
        <v>109.78569999999999</v>
      </c>
      <c r="AC46" s="397">
        <f t="shared" si="0"/>
        <v>1170.5956490000001</v>
      </c>
      <c r="AD46" s="397">
        <f t="shared" si="0"/>
        <v>537.56759999999997</v>
      </c>
      <c r="AE46" s="397">
        <f t="shared" si="0"/>
        <v>341.26234799999992</v>
      </c>
      <c r="AF46" s="397">
        <f t="shared" si="0"/>
        <v>13.583549999999999</v>
      </c>
      <c r="AG46" s="397">
        <f t="shared" si="0"/>
        <v>434.72189300000002</v>
      </c>
      <c r="AH46" s="397">
        <f t="shared" si="0"/>
        <v>26.955568</v>
      </c>
      <c r="AI46" s="397">
        <f t="shared" si="0"/>
        <v>101.12531100000001</v>
      </c>
      <c r="AJ46" s="397">
        <f t="shared" si="0"/>
        <v>230.94531500000002</v>
      </c>
      <c r="AK46" s="397">
        <f t="shared" si="0"/>
        <v>670.88495999999998</v>
      </c>
      <c r="AL46" s="397">
        <f t="shared" si="0"/>
        <v>190.078812</v>
      </c>
      <c r="AM46" s="397">
        <f t="shared" si="0"/>
        <v>827.50240000000008</v>
      </c>
      <c r="AN46" s="397">
        <f t="shared" si="0"/>
        <v>211.17779999999999</v>
      </c>
      <c r="AO46" s="397">
        <f t="shared" si="0"/>
        <v>229.18933800000002</v>
      </c>
      <c r="AP46" s="397">
        <f t="shared" si="0"/>
        <v>1099.28496</v>
      </c>
      <c r="AQ46" s="397">
        <f t="shared" si="0"/>
        <v>374.52251000000001</v>
      </c>
      <c r="AR46" s="397">
        <f t="shared" si="0"/>
        <v>69.430320000000009</v>
      </c>
      <c r="AS46" s="397">
        <f t="shared" si="0"/>
        <v>1108.53648</v>
      </c>
      <c r="AT46" s="397">
        <f t="shared" si="0"/>
        <v>376.27717499999994</v>
      </c>
      <c r="AU46" s="404">
        <f>AU5+AU8+AU11+AU14+AU17+AU20+AU23</f>
        <v>16393.054091000002</v>
      </c>
    </row>
    <row r="47" spans="1:47">
      <c r="C47" s="398" t="s">
        <v>148</v>
      </c>
      <c r="D47" s="397">
        <f>D42+D39+D36+D33+D30+D27</f>
        <v>48.431364695999996</v>
      </c>
      <c r="E47" s="397">
        <f t="shared" ref="E47:AT47" si="1">E42+E39+E36+E33+E30+E27</f>
        <v>201.1266597</v>
      </c>
      <c r="F47" s="397">
        <f t="shared" si="1"/>
        <v>23.661540599999999</v>
      </c>
      <c r="G47" s="397">
        <f t="shared" si="1"/>
        <v>240.25461033599998</v>
      </c>
      <c r="H47" s="397">
        <f t="shared" si="1"/>
        <v>646.53116214000011</v>
      </c>
      <c r="I47" s="397">
        <f t="shared" si="1"/>
        <v>90.004573350000001</v>
      </c>
      <c r="J47" s="397">
        <f t="shared" si="1"/>
        <v>104.05432428750001</v>
      </c>
      <c r="K47" s="397">
        <f t="shared" si="1"/>
        <v>27.740154549</v>
      </c>
      <c r="L47" s="397">
        <f t="shared" si="1"/>
        <v>33.409794804000001</v>
      </c>
      <c r="M47" s="397">
        <f t="shared" si="1"/>
        <v>130.19207940000001</v>
      </c>
      <c r="N47" s="397">
        <f t="shared" si="1"/>
        <v>122.46204550500001</v>
      </c>
      <c r="O47" s="397">
        <f t="shared" si="1"/>
        <v>294.17708503799997</v>
      </c>
      <c r="P47" s="397">
        <f t="shared" si="1"/>
        <v>106.309193592</v>
      </c>
      <c r="Q47" s="397">
        <f t="shared" si="1"/>
        <v>59.822935145999999</v>
      </c>
      <c r="R47" s="397">
        <f t="shared" si="1"/>
        <v>36.119230812000005</v>
      </c>
      <c r="S47" s="397">
        <f t="shared" si="1"/>
        <v>46.088566992000004</v>
      </c>
      <c r="T47" s="397">
        <f t="shared" si="1"/>
        <v>49.749005376</v>
      </c>
      <c r="U47" s="397">
        <f t="shared" si="1"/>
        <v>14.467784604000002</v>
      </c>
      <c r="V47" s="397">
        <f t="shared" si="1"/>
        <v>16.880766540000003</v>
      </c>
      <c r="W47" s="397">
        <f t="shared" si="1"/>
        <v>13.388659536</v>
      </c>
      <c r="X47" s="397">
        <f t="shared" si="1"/>
        <v>12.572968005</v>
      </c>
      <c r="Y47" s="397">
        <f t="shared" si="1"/>
        <v>31.115355011999998</v>
      </c>
      <c r="Z47" s="397">
        <f t="shared" si="1"/>
        <v>6.9868792319999997</v>
      </c>
      <c r="AA47" s="397">
        <f t="shared" si="1"/>
        <v>75.446700336000006</v>
      </c>
      <c r="AB47" s="397">
        <f t="shared" si="1"/>
        <v>38.772549047999995</v>
      </c>
      <c r="AC47" s="397">
        <f t="shared" si="1"/>
        <v>246.051147609</v>
      </c>
      <c r="AD47" s="397">
        <f t="shared" si="1"/>
        <v>109.24799789999999</v>
      </c>
      <c r="AE47" s="397">
        <f t="shared" si="1"/>
        <v>162.48661506000002</v>
      </c>
      <c r="AF47" s="397">
        <f t="shared" si="1"/>
        <v>2.3955894300000002</v>
      </c>
      <c r="AG47" s="397">
        <f t="shared" si="1"/>
        <v>161.01268038000001</v>
      </c>
      <c r="AH47" s="397">
        <f t="shared" si="1"/>
        <v>28.20991536</v>
      </c>
      <c r="AI47" s="397">
        <f t="shared" si="1"/>
        <v>78.275115837000016</v>
      </c>
      <c r="AJ47" s="397">
        <f t="shared" si="1"/>
        <v>193.433756598</v>
      </c>
      <c r="AK47" s="397">
        <f t="shared" si="1"/>
        <v>688.94285520000005</v>
      </c>
      <c r="AL47" s="397">
        <f t="shared" si="1"/>
        <v>405.22481109000006</v>
      </c>
      <c r="AM47" s="397">
        <f t="shared" si="1"/>
        <v>691.75916340000003</v>
      </c>
      <c r="AN47" s="397">
        <f t="shared" si="1"/>
        <v>520.44873749999999</v>
      </c>
      <c r="AO47" s="397">
        <f t="shared" si="1"/>
        <v>126.77038010100001</v>
      </c>
      <c r="AP47" s="397">
        <f t="shared" si="1"/>
        <v>735.00705129599987</v>
      </c>
      <c r="AQ47" s="397">
        <f t="shared" si="1"/>
        <v>443.24796057000003</v>
      </c>
      <c r="AR47" s="397">
        <f t="shared" si="1"/>
        <v>159.31290087000002</v>
      </c>
      <c r="AS47" s="397">
        <f t="shared" si="1"/>
        <v>854.31313843199996</v>
      </c>
      <c r="AT47" s="397">
        <f t="shared" si="1"/>
        <v>235.93348431000004</v>
      </c>
      <c r="AU47" s="404">
        <f>AU42+AU39+AU36+AU33+AU30+AU27</f>
        <v>8311.8392895795005</v>
      </c>
    </row>
    <row r="48" spans="1:47">
      <c r="A48" s="397"/>
    </row>
    <row r="49" spans="1:7">
      <c r="A49" s="526" t="s">
        <v>553</v>
      </c>
      <c r="B49" s="526"/>
      <c r="C49" s="526"/>
      <c r="D49" s="526"/>
      <c r="E49" s="526"/>
      <c r="F49" s="526"/>
      <c r="G49" s="526"/>
    </row>
    <row r="50" spans="1:7">
      <c r="A50" s="397"/>
    </row>
    <row r="51" spans="1:7">
      <c r="A51" s="397"/>
    </row>
    <row r="52" spans="1:7">
      <c r="A52" s="397"/>
    </row>
    <row r="53" spans="1:7">
      <c r="A53" s="397"/>
    </row>
    <row r="54" spans="1:7">
      <c r="A54" s="397"/>
    </row>
    <row r="55" spans="1:7">
      <c r="A55" s="397"/>
    </row>
    <row r="56" spans="1:7">
      <c r="A56" s="397"/>
    </row>
    <row r="57" spans="1:7">
      <c r="A57" s="397"/>
    </row>
    <row r="58" spans="1:7">
      <c r="A58" s="397"/>
    </row>
  </sheetData>
  <mergeCells count="30">
    <mergeCell ref="A1:P1"/>
    <mergeCell ref="Q1:AE1"/>
    <mergeCell ref="AF1:AU1"/>
    <mergeCell ref="B33:B35"/>
    <mergeCell ref="A36:A38"/>
    <mergeCell ref="B36:B38"/>
    <mergeCell ref="A23:A25"/>
    <mergeCell ref="B23:B25"/>
    <mergeCell ref="B11:B13"/>
    <mergeCell ref="A14:A16"/>
    <mergeCell ref="A27:A29"/>
    <mergeCell ref="B27:B29"/>
    <mergeCell ref="B17:B19"/>
    <mergeCell ref="A20:A22"/>
    <mergeCell ref="B20:B22"/>
    <mergeCell ref="A17:A19"/>
    <mergeCell ref="A42:A44"/>
    <mergeCell ref="B42:B44"/>
    <mergeCell ref="A30:A32"/>
    <mergeCell ref="B30:B32"/>
    <mergeCell ref="A33:A35"/>
    <mergeCell ref="A49:G49"/>
    <mergeCell ref="A39:A41"/>
    <mergeCell ref="B39:B41"/>
    <mergeCell ref="A5:A7"/>
    <mergeCell ref="B5:B7"/>
    <mergeCell ref="A8:A10"/>
    <mergeCell ref="B8:B10"/>
    <mergeCell ref="A11:A13"/>
    <mergeCell ref="B14:B16"/>
  </mergeCells>
  <printOptions horizontalCentered="1"/>
  <pageMargins left="0.5" right="0.25" top="0.25" bottom="0.25" header="0.3" footer="0.3"/>
  <pageSetup paperSize="9" scale="70" orientation="landscape" r:id="rId1"/>
  <colBreaks count="1" manualBreakCount="1">
    <brk id="30" max="48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view="pageBreakPreview" topLeftCell="A13" zoomScale="130" zoomScaleNormal="100" zoomScaleSheetLayoutView="130" workbookViewId="0">
      <selection activeCell="G3" sqref="G3"/>
    </sheetView>
  </sheetViews>
  <sheetFormatPr defaultRowHeight="15"/>
  <cols>
    <col min="1" max="1" width="7" style="422" bestFit="1" customWidth="1"/>
    <col min="2" max="2" width="15.140625" bestFit="1" customWidth="1"/>
    <col min="3" max="3" width="15.5703125" customWidth="1"/>
    <col min="4" max="4" width="20.85546875" customWidth="1"/>
    <col min="5" max="5" width="13.85546875" customWidth="1"/>
    <col min="6" max="6" width="16.140625" customWidth="1"/>
  </cols>
  <sheetData>
    <row r="1" spans="1:8" ht="58.9" customHeight="1" thickBot="1">
      <c r="A1" s="528" t="s">
        <v>613</v>
      </c>
      <c r="B1" s="528"/>
      <c r="C1" s="528"/>
      <c r="D1" s="528"/>
      <c r="E1" s="528"/>
      <c r="F1" s="528"/>
    </row>
    <row r="2" spans="1:8" ht="104.45" customHeight="1" thickBot="1">
      <c r="A2" s="418" t="s">
        <v>614</v>
      </c>
      <c r="B2" s="419" t="s">
        <v>615</v>
      </c>
      <c r="C2" s="419" t="s">
        <v>616</v>
      </c>
      <c r="D2" s="419" t="s">
        <v>617</v>
      </c>
      <c r="E2" s="419" t="s">
        <v>618</v>
      </c>
      <c r="F2" s="420" t="s">
        <v>619</v>
      </c>
    </row>
    <row r="3" spans="1:8">
      <c r="A3" s="421">
        <v>1</v>
      </c>
      <c r="B3" s="416" t="s">
        <v>2</v>
      </c>
      <c r="C3" s="417" t="s">
        <v>620</v>
      </c>
      <c r="D3" s="417">
        <v>13047</v>
      </c>
      <c r="E3" s="417">
        <v>5</v>
      </c>
      <c r="F3" s="417">
        <f>D3*E3</f>
        <v>65235</v>
      </c>
      <c r="G3">
        <v>8</v>
      </c>
      <c r="H3">
        <f>D3*G3</f>
        <v>104376</v>
      </c>
    </row>
    <row r="4" spans="1:8">
      <c r="A4" s="413"/>
      <c r="B4" s="407"/>
      <c r="C4" s="408" t="s">
        <v>621</v>
      </c>
      <c r="D4" s="408">
        <v>16197</v>
      </c>
      <c r="E4" s="408">
        <v>3</v>
      </c>
      <c r="F4" s="408">
        <f t="shared" ref="F4:F63" si="0">D4*E4</f>
        <v>48591</v>
      </c>
      <c r="G4">
        <v>8</v>
      </c>
      <c r="H4">
        <f t="shared" ref="H4:H67" si="1">D4*G4</f>
        <v>129576</v>
      </c>
    </row>
    <row r="5" spans="1:8">
      <c r="A5" s="413"/>
      <c r="B5" s="407"/>
      <c r="C5" s="408" t="s">
        <v>622</v>
      </c>
      <c r="D5" s="408">
        <v>12569</v>
      </c>
      <c r="E5" s="408">
        <v>4.5</v>
      </c>
      <c r="F5" s="408">
        <f t="shared" si="0"/>
        <v>56560.5</v>
      </c>
      <c r="G5">
        <v>8</v>
      </c>
      <c r="H5">
        <f t="shared" si="1"/>
        <v>100552</v>
      </c>
    </row>
    <row r="6" spans="1:8">
      <c r="A6" s="413">
        <v>2</v>
      </c>
      <c r="B6" s="407" t="s">
        <v>39</v>
      </c>
      <c r="C6" s="408" t="s">
        <v>620</v>
      </c>
      <c r="D6" s="408">
        <v>3000</v>
      </c>
      <c r="E6" s="408">
        <v>4.33</v>
      </c>
      <c r="F6" s="408">
        <f t="shared" si="0"/>
        <v>12990</v>
      </c>
      <c r="G6">
        <v>8</v>
      </c>
      <c r="H6">
        <f t="shared" si="1"/>
        <v>24000</v>
      </c>
    </row>
    <row r="7" spans="1:8">
      <c r="A7" s="413"/>
      <c r="B7" s="407"/>
      <c r="C7" s="408" t="s">
        <v>621</v>
      </c>
      <c r="D7" s="407"/>
      <c r="E7" s="407"/>
      <c r="F7" s="408"/>
      <c r="G7">
        <v>8</v>
      </c>
      <c r="H7">
        <f t="shared" si="1"/>
        <v>0</v>
      </c>
    </row>
    <row r="8" spans="1:8">
      <c r="A8" s="413"/>
      <c r="B8" s="407"/>
      <c r="C8" s="408" t="s">
        <v>622</v>
      </c>
      <c r="D8" s="408">
        <v>9054</v>
      </c>
      <c r="E8" s="408">
        <v>4</v>
      </c>
      <c r="F8" s="408">
        <f t="shared" si="0"/>
        <v>36216</v>
      </c>
      <c r="G8">
        <v>8</v>
      </c>
      <c r="H8">
        <f t="shared" si="1"/>
        <v>72432</v>
      </c>
    </row>
    <row r="9" spans="1:8">
      <c r="A9" s="413">
        <v>3</v>
      </c>
      <c r="B9" s="407" t="s">
        <v>41</v>
      </c>
      <c r="C9" s="408" t="s">
        <v>620</v>
      </c>
      <c r="D9" s="408">
        <v>7348.125</v>
      </c>
      <c r="E9" s="408">
        <v>5</v>
      </c>
      <c r="F9" s="408">
        <f t="shared" si="0"/>
        <v>36740.625</v>
      </c>
      <c r="G9">
        <v>8</v>
      </c>
      <c r="H9">
        <f t="shared" si="1"/>
        <v>58785</v>
      </c>
    </row>
    <row r="10" spans="1:8">
      <c r="A10" s="413"/>
      <c r="B10" s="407"/>
      <c r="C10" s="408" t="s">
        <v>621</v>
      </c>
      <c r="D10" s="407"/>
      <c r="E10" s="407"/>
      <c r="F10" s="408"/>
      <c r="G10">
        <v>8</v>
      </c>
      <c r="H10">
        <f t="shared" si="1"/>
        <v>0</v>
      </c>
    </row>
    <row r="11" spans="1:8">
      <c r="A11" s="413"/>
      <c r="B11" s="407"/>
      <c r="C11" s="408" t="s">
        <v>622</v>
      </c>
      <c r="D11" s="408">
        <v>9195</v>
      </c>
      <c r="E11" s="408">
        <v>4.8</v>
      </c>
      <c r="F11" s="408">
        <f t="shared" si="0"/>
        <v>44136</v>
      </c>
      <c r="G11">
        <v>8</v>
      </c>
      <c r="H11">
        <f t="shared" si="1"/>
        <v>73560</v>
      </c>
    </row>
    <row r="12" spans="1:8">
      <c r="A12" s="413">
        <v>4</v>
      </c>
      <c r="B12" s="407" t="s">
        <v>3</v>
      </c>
      <c r="C12" s="408" t="s">
        <v>620</v>
      </c>
      <c r="D12" s="407"/>
      <c r="E12" s="407"/>
      <c r="F12" s="408"/>
      <c r="G12">
        <v>8</v>
      </c>
      <c r="H12">
        <f t="shared" si="1"/>
        <v>0</v>
      </c>
    </row>
    <row r="13" spans="1:8">
      <c r="A13" s="413"/>
      <c r="B13" s="407"/>
      <c r="C13" s="408" t="s">
        <v>621</v>
      </c>
      <c r="D13" s="408">
        <v>17413.8</v>
      </c>
      <c r="E13" s="408">
        <v>5</v>
      </c>
      <c r="F13" s="408">
        <f t="shared" si="0"/>
        <v>87069</v>
      </c>
      <c r="G13">
        <v>8</v>
      </c>
      <c r="H13">
        <f t="shared" si="1"/>
        <v>139310.39999999999</v>
      </c>
    </row>
    <row r="14" spans="1:8">
      <c r="A14" s="413"/>
      <c r="B14" s="407"/>
      <c r="C14" s="408" t="s">
        <v>622</v>
      </c>
      <c r="D14" s="408">
        <v>11500</v>
      </c>
      <c r="E14" s="408">
        <v>3</v>
      </c>
      <c r="F14" s="408">
        <f t="shared" si="0"/>
        <v>34500</v>
      </c>
      <c r="G14">
        <v>8</v>
      </c>
      <c r="H14">
        <f t="shared" si="1"/>
        <v>92000</v>
      </c>
    </row>
    <row r="15" spans="1:8">
      <c r="A15" s="413">
        <v>5</v>
      </c>
      <c r="B15" s="407" t="s">
        <v>4</v>
      </c>
      <c r="C15" s="408" t="s">
        <v>620</v>
      </c>
      <c r="D15" s="408">
        <v>32571.8</v>
      </c>
      <c r="E15" s="408">
        <v>4.28</v>
      </c>
      <c r="F15" s="408">
        <f t="shared" si="0"/>
        <v>139407.304</v>
      </c>
      <c r="G15">
        <v>8</v>
      </c>
      <c r="H15">
        <f t="shared" si="1"/>
        <v>260574.4</v>
      </c>
    </row>
    <row r="16" spans="1:8">
      <c r="A16" s="413"/>
      <c r="B16" s="407"/>
      <c r="C16" s="408" t="s">
        <v>621</v>
      </c>
      <c r="D16" s="408">
        <v>27413</v>
      </c>
      <c r="E16" s="408">
        <v>4.3099999999999996</v>
      </c>
      <c r="F16" s="408">
        <f t="shared" si="0"/>
        <v>118150.02999999998</v>
      </c>
      <c r="G16">
        <v>8</v>
      </c>
      <c r="H16">
        <f t="shared" si="1"/>
        <v>219304</v>
      </c>
    </row>
    <row r="17" spans="1:8">
      <c r="A17" s="413"/>
      <c r="B17" s="407"/>
      <c r="C17" s="408" t="s">
        <v>622</v>
      </c>
      <c r="D17" s="408">
        <v>23066</v>
      </c>
      <c r="E17" s="408">
        <v>4.21</v>
      </c>
      <c r="F17" s="408">
        <f t="shared" si="0"/>
        <v>97107.86</v>
      </c>
      <c r="G17">
        <v>8</v>
      </c>
      <c r="H17">
        <f t="shared" si="1"/>
        <v>184528</v>
      </c>
    </row>
    <row r="18" spans="1:8">
      <c r="A18" s="413">
        <v>6</v>
      </c>
      <c r="B18" s="407" t="s">
        <v>29</v>
      </c>
      <c r="C18" s="408" t="s">
        <v>620</v>
      </c>
      <c r="D18" s="408">
        <v>12166</v>
      </c>
      <c r="E18" s="408">
        <v>5</v>
      </c>
      <c r="F18" s="408">
        <f t="shared" si="0"/>
        <v>60830</v>
      </c>
      <c r="G18">
        <v>8</v>
      </c>
      <c r="H18">
        <f t="shared" si="1"/>
        <v>97328</v>
      </c>
    </row>
    <row r="19" spans="1:8">
      <c r="A19" s="413"/>
      <c r="B19" s="407"/>
      <c r="C19" s="408" t="s">
        <v>621</v>
      </c>
      <c r="D19" s="408">
        <v>30946</v>
      </c>
      <c r="E19" s="408">
        <v>4.84</v>
      </c>
      <c r="F19" s="408">
        <f t="shared" si="0"/>
        <v>149778.63999999998</v>
      </c>
      <c r="G19">
        <v>8</v>
      </c>
      <c r="H19">
        <f t="shared" si="1"/>
        <v>247568</v>
      </c>
    </row>
    <row r="20" spans="1:8">
      <c r="A20" s="413"/>
      <c r="B20" s="407"/>
      <c r="C20" s="408" t="s">
        <v>622</v>
      </c>
      <c r="D20" s="408">
        <v>10920</v>
      </c>
      <c r="E20" s="408">
        <v>3.17</v>
      </c>
      <c r="F20" s="408">
        <f t="shared" si="0"/>
        <v>34616.400000000001</v>
      </c>
      <c r="G20">
        <v>8</v>
      </c>
      <c r="H20">
        <f t="shared" si="1"/>
        <v>87360</v>
      </c>
    </row>
    <row r="21" spans="1:8">
      <c r="A21" s="413">
        <v>7</v>
      </c>
      <c r="B21" s="407" t="s">
        <v>6</v>
      </c>
      <c r="C21" s="408" t="s">
        <v>620</v>
      </c>
      <c r="D21" s="408">
        <v>58000</v>
      </c>
      <c r="E21" s="408">
        <v>5</v>
      </c>
      <c r="F21" s="408">
        <f t="shared" si="0"/>
        <v>290000</v>
      </c>
      <c r="G21">
        <v>8</v>
      </c>
      <c r="H21">
        <f t="shared" si="1"/>
        <v>464000</v>
      </c>
    </row>
    <row r="22" spans="1:8">
      <c r="A22" s="413"/>
      <c r="B22" s="407"/>
      <c r="C22" s="408" t="s">
        <v>621</v>
      </c>
      <c r="D22" s="408">
        <v>33821</v>
      </c>
      <c r="E22" s="408">
        <v>4.18</v>
      </c>
      <c r="F22" s="408">
        <f t="shared" si="0"/>
        <v>141371.78</v>
      </c>
      <c r="G22">
        <v>8</v>
      </c>
      <c r="H22">
        <f t="shared" si="1"/>
        <v>270568</v>
      </c>
    </row>
    <row r="23" spans="1:8">
      <c r="A23" s="413"/>
      <c r="B23" s="407"/>
      <c r="C23" s="408" t="s">
        <v>622</v>
      </c>
      <c r="D23" s="408">
        <v>41992.800000000003</v>
      </c>
      <c r="E23" s="408">
        <v>4.1500000000000004</v>
      </c>
      <c r="F23" s="408">
        <f t="shared" si="0"/>
        <v>174270.12000000002</v>
      </c>
      <c r="G23">
        <v>8</v>
      </c>
      <c r="H23">
        <f t="shared" si="1"/>
        <v>335942.40000000002</v>
      </c>
    </row>
    <row r="24" spans="1:8">
      <c r="A24" s="413">
        <v>8</v>
      </c>
      <c r="B24" s="407" t="s">
        <v>623</v>
      </c>
      <c r="C24" s="408" t="s">
        <v>620</v>
      </c>
      <c r="D24" s="407"/>
      <c r="E24" s="407"/>
      <c r="F24" s="408"/>
      <c r="G24">
        <v>8</v>
      </c>
      <c r="H24">
        <f t="shared" si="1"/>
        <v>0</v>
      </c>
    </row>
    <row r="25" spans="1:8">
      <c r="A25" s="413"/>
      <c r="B25" s="407"/>
      <c r="C25" s="408" t="s">
        <v>621</v>
      </c>
      <c r="D25" s="407"/>
      <c r="E25" s="407"/>
      <c r="F25" s="408"/>
      <c r="G25">
        <v>8</v>
      </c>
      <c r="H25">
        <f t="shared" si="1"/>
        <v>0</v>
      </c>
    </row>
    <row r="26" spans="1:8">
      <c r="A26" s="413"/>
      <c r="B26" s="407"/>
      <c r="C26" s="408" t="s">
        <v>622</v>
      </c>
      <c r="D26" s="407"/>
      <c r="E26" s="407"/>
      <c r="F26" s="408"/>
      <c r="G26">
        <v>8</v>
      </c>
      <c r="H26">
        <f t="shared" si="1"/>
        <v>0</v>
      </c>
    </row>
    <row r="27" spans="1:8">
      <c r="A27" s="413">
        <v>9</v>
      </c>
      <c r="B27" s="407" t="s">
        <v>1</v>
      </c>
      <c r="C27" s="408" t="s">
        <v>620</v>
      </c>
      <c r="D27" s="408">
        <v>5928</v>
      </c>
      <c r="E27" s="408">
        <v>4.2300000000000004</v>
      </c>
      <c r="F27" s="408">
        <f t="shared" si="0"/>
        <v>25075.440000000002</v>
      </c>
      <c r="G27">
        <v>8</v>
      </c>
      <c r="H27">
        <f t="shared" si="1"/>
        <v>47424</v>
      </c>
    </row>
    <row r="28" spans="1:8">
      <c r="A28" s="413"/>
      <c r="B28" s="407"/>
      <c r="C28" s="409" t="s">
        <v>621</v>
      </c>
      <c r="D28" s="410">
        <v>7250</v>
      </c>
      <c r="E28" s="410">
        <v>4</v>
      </c>
      <c r="F28" s="408">
        <f t="shared" si="0"/>
        <v>29000</v>
      </c>
      <c r="G28">
        <v>8</v>
      </c>
      <c r="H28">
        <f t="shared" si="1"/>
        <v>58000</v>
      </c>
    </row>
    <row r="29" spans="1:8">
      <c r="A29" s="413"/>
      <c r="B29" s="407"/>
      <c r="C29" s="409" t="s">
        <v>622</v>
      </c>
      <c r="D29" s="410">
        <v>6839.4</v>
      </c>
      <c r="E29" s="410">
        <v>5</v>
      </c>
      <c r="F29" s="408">
        <f t="shared" si="0"/>
        <v>34197</v>
      </c>
      <c r="G29">
        <v>8</v>
      </c>
      <c r="H29">
        <f t="shared" si="1"/>
        <v>54715.199999999997</v>
      </c>
    </row>
    <row r="30" spans="1:8">
      <c r="A30" s="413">
        <v>10</v>
      </c>
      <c r="B30" s="407" t="s">
        <v>7</v>
      </c>
      <c r="C30" s="408" t="s">
        <v>620</v>
      </c>
      <c r="D30" s="408">
        <v>8544</v>
      </c>
      <c r="E30" s="408">
        <v>4.32</v>
      </c>
      <c r="F30" s="408">
        <f t="shared" si="0"/>
        <v>36910.080000000002</v>
      </c>
      <c r="G30">
        <v>8</v>
      </c>
      <c r="H30">
        <f t="shared" si="1"/>
        <v>68352</v>
      </c>
    </row>
    <row r="31" spans="1:8">
      <c r="A31" s="413"/>
      <c r="B31" s="407"/>
      <c r="C31" s="409" t="s">
        <v>621</v>
      </c>
      <c r="D31" s="410">
        <v>4500</v>
      </c>
      <c r="E31" s="410">
        <v>5</v>
      </c>
      <c r="F31" s="408">
        <f t="shared" si="0"/>
        <v>22500</v>
      </c>
      <c r="G31">
        <v>8</v>
      </c>
      <c r="H31">
        <f t="shared" si="1"/>
        <v>36000</v>
      </c>
    </row>
    <row r="32" spans="1:8">
      <c r="A32" s="413"/>
      <c r="B32" s="407"/>
      <c r="C32" s="409" t="s">
        <v>622</v>
      </c>
      <c r="D32" s="410">
        <v>11492.75</v>
      </c>
      <c r="E32" s="410">
        <v>4.6399999999999997</v>
      </c>
      <c r="F32" s="408">
        <f t="shared" si="0"/>
        <v>53326.359999999993</v>
      </c>
      <c r="G32">
        <v>8</v>
      </c>
      <c r="H32">
        <f t="shared" si="1"/>
        <v>91942</v>
      </c>
    </row>
    <row r="33" spans="1:8">
      <c r="A33" s="413">
        <v>11</v>
      </c>
      <c r="B33" s="407" t="s">
        <v>8</v>
      </c>
      <c r="C33" s="408" t="s">
        <v>620</v>
      </c>
      <c r="D33" s="407"/>
      <c r="E33" s="407"/>
      <c r="F33" s="408"/>
      <c r="G33">
        <v>8</v>
      </c>
      <c r="H33">
        <f t="shared" si="1"/>
        <v>0</v>
      </c>
    </row>
    <row r="34" spans="1:8">
      <c r="A34" s="413"/>
      <c r="B34" s="407"/>
      <c r="C34" s="409" t="s">
        <v>621</v>
      </c>
      <c r="D34" s="410">
        <v>10500</v>
      </c>
      <c r="E34" s="410">
        <v>2</v>
      </c>
      <c r="F34" s="408">
        <f t="shared" si="0"/>
        <v>21000</v>
      </c>
      <c r="G34">
        <v>8</v>
      </c>
      <c r="H34">
        <f t="shared" si="1"/>
        <v>84000</v>
      </c>
    </row>
    <row r="35" spans="1:8">
      <c r="A35" s="413"/>
      <c r="B35" s="407"/>
      <c r="C35" s="409" t="s">
        <v>622</v>
      </c>
      <c r="D35" s="410"/>
      <c r="E35" s="410"/>
      <c r="F35" s="408"/>
      <c r="G35">
        <v>8</v>
      </c>
      <c r="H35">
        <f t="shared" si="1"/>
        <v>0</v>
      </c>
    </row>
    <row r="36" spans="1:8">
      <c r="A36" s="413">
        <v>12</v>
      </c>
      <c r="B36" s="407" t="s">
        <v>28</v>
      </c>
      <c r="C36" s="408" t="s">
        <v>620</v>
      </c>
      <c r="D36" s="408">
        <v>38776</v>
      </c>
      <c r="E36" s="408">
        <v>5</v>
      </c>
      <c r="F36" s="408">
        <f t="shared" si="0"/>
        <v>193880</v>
      </c>
      <c r="G36">
        <v>8</v>
      </c>
      <c r="H36">
        <f t="shared" si="1"/>
        <v>310208</v>
      </c>
    </row>
    <row r="37" spans="1:8">
      <c r="A37" s="413"/>
      <c r="B37" s="407"/>
      <c r="C37" s="409" t="s">
        <v>621</v>
      </c>
      <c r="D37" s="410">
        <v>15560</v>
      </c>
      <c r="E37" s="410">
        <v>3.65</v>
      </c>
      <c r="F37" s="408">
        <f t="shared" si="0"/>
        <v>56794</v>
      </c>
      <c r="G37">
        <v>8</v>
      </c>
      <c r="H37">
        <f t="shared" si="1"/>
        <v>124480</v>
      </c>
    </row>
    <row r="38" spans="1:8">
      <c r="A38" s="413"/>
      <c r="B38" s="407"/>
      <c r="C38" s="409" t="s">
        <v>622</v>
      </c>
      <c r="D38" s="410">
        <v>13553</v>
      </c>
      <c r="E38" s="410">
        <v>2.16</v>
      </c>
      <c r="F38" s="408">
        <f t="shared" si="0"/>
        <v>29274.480000000003</v>
      </c>
      <c r="G38">
        <v>8</v>
      </c>
      <c r="H38">
        <f t="shared" si="1"/>
        <v>108424</v>
      </c>
    </row>
    <row r="39" spans="1:8">
      <c r="A39" s="413">
        <v>13</v>
      </c>
      <c r="B39" s="407" t="s">
        <v>0</v>
      </c>
      <c r="C39" s="408" t="s">
        <v>620</v>
      </c>
      <c r="D39" s="407"/>
      <c r="E39" s="407"/>
      <c r="F39" s="408"/>
      <c r="G39">
        <v>8</v>
      </c>
      <c r="H39">
        <f t="shared" si="1"/>
        <v>0</v>
      </c>
    </row>
    <row r="40" spans="1:8">
      <c r="A40" s="413"/>
      <c r="B40" s="407"/>
      <c r="C40" s="409" t="s">
        <v>621</v>
      </c>
      <c r="D40" s="410">
        <v>2000</v>
      </c>
      <c r="E40" s="410">
        <v>4</v>
      </c>
      <c r="F40" s="408">
        <f t="shared" si="0"/>
        <v>8000</v>
      </c>
      <c r="G40">
        <v>8</v>
      </c>
      <c r="H40">
        <f t="shared" si="1"/>
        <v>16000</v>
      </c>
    </row>
    <row r="41" spans="1:8">
      <c r="A41" s="413"/>
      <c r="B41" s="407"/>
      <c r="C41" s="409" t="s">
        <v>622</v>
      </c>
      <c r="D41" s="407"/>
      <c r="E41" s="407"/>
      <c r="F41" s="408"/>
      <c r="G41">
        <v>8</v>
      </c>
      <c r="H41">
        <f t="shared" si="1"/>
        <v>0</v>
      </c>
    </row>
    <row r="42" spans="1:8">
      <c r="A42" s="413">
        <v>14</v>
      </c>
      <c r="B42" s="411" t="s">
        <v>9</v>
      </c>
      <c r="C42" s="408" t="s">
        <v>620</v>
      </c>
      <c r="D42" s="407"/>
      <c r="E42" s="407"/>
      <c r="F42" s="408"/>
      <c r="G42">
        <v>8</v>
      </c>
      <c r="H42">
        <f t="shared" si="1"/>
        <v>0</v>
      </c>
    </row>
    <row r="43" spans="1:8">
      <c r="A43" s="413"/>
      <c r="B43" s="407"/>
      <c r="C43" s="412" t="s">
        <v>621</v>
      </c>
      <c r="D43" s="408">
        <v>30885</v>
      </c>
      <c r="E43" s="408">
        <v>5.15</v>
      </c>
      <c r="F43" s="408">
        <f t="shared" si="0"/>
        <v>159057.75</v>
      </c>
      <c r="G43">
        <v>8</v>
      </c>
      <c r="H43">
        <f t="shared" si="1"/>
        <v>247080</v>
      </c>
    </row>
    <row r="44" spans="1:8">
      <c r="A44" s="413"/>
      <c r="B44" s="407"/>
      <c r="C44" s="409" t="s">
        <v>622</v>
      </c>
      <c r="D44" s="407"/>
      <c r="E44" s="407"/>
      <c r="F44" s="408"/>
      <c r="G44">
        <v>8</v>
      </c>
      <c r="H44">
        <f t="shared" si="1"/>
        <v>0</v>
      </c>
    </row>
    <row r="45" spans="1:8">
      <c r="A45" s="413">
        <v>15</v>
      </c>
      <c r="B45" s="407" t="s">
        <v>5</v>
      </c>
      <c r="C45" s="413" t="s">
        <v>620</v>
      </c>
      <c r="D45" s="414">
        <v>15500</v>
      </c>
      <c r="E45" s="414">
        <v>3</v>
      </c>
      <c r="F45" s="408">
        <f t="shared" si="0"/>
        <v>46500</v>
      </c>
      <c r="G45">
        <v>8</v>
      </c>
      <c r="H45">
        <f t="shared" si="1"/>
        <v>124000</v>
      </c>
    </row>
    <row r="46" spans="1:8">
      <c r="A46" s="413"/>
      <c r="B46" s="407"/>
      <c r="C46" s="412" t="s">
        <v>621</v>
      </c>
      <c r="D46" s="408">
        <v>12500</v>
      </c>
      <c r="E46" s="408">
        <v>4</v>
      </c>
      <c r="F46" s="408">
        <f t="shared" si="0"/>
        <v>50000</v>
      </c>
      <c r="G46">
        <v>8</v>
      </c>
      <c r="H46">
        <f t="shared" si="1"/>
        <v>100000</v>
      </c>
    </row>
    <row r="47" spans="1:8">
      <c r="A47" s="413"/>
      <c r="B47" s="407"/>
      <c r="C47" s="409" t="s">
        <v>622</v>
      </c>
      <c r="D47" s="410">
        <v>17186</v>
      </c>
      <c r="E47" s="410">
        <v>4.5999999999999996</v>
      </c>
      <c r="F47" s="408">
        <f t="shared" si="0"/>
        <v>79055.599999999991</v>
      </c>
      <c r="G47">
        <v>8</v>
      </c>
      <c r="H47">
        <f t="shared" si="1"/>
        <v>137488</v>
      </c>
    </row>
    <row r="48" spans="1:8">
      <c r="A48" s="413">
        <v>16</v>
      </c>
      <c r="B48" s="407" t="s">
        <v>12</v>
      </c>
      <c r="C48" s="413" t="s">
        <v>620</v>
      </c>
      <c r="D48" s="408">
        <v>9571</v>
      </c>
      <c r="E48" s="408">
        <v>3.1</v>
      </c>
      <c r="F48" s="408">
        <f t="shared" si="0"/>
        <v>29670.100000000002</v>
      </c>
      <c r="G48">
        <v>8</v>
      </c>
      <c r="H48">
        <f t="shared" si="1"/>
        <v>76568</v>
      </c>
    </row>
    <row r="49" spans="1:8">
      <c r="A49" s="413"/>
      <c r="B49" s="407"/>
      <c r="C49" s="412" t="s">
        <v>621</v>
      </c>
      <c r="D49" s="407"/>
      <c r="E49" s="407"/>
      <c r="F49" s="408"/>
      <c r="G49">
        <v>8</v>
      </c>
      <c r="H49">
        <f t="shared" si="1"/>
        <v>0</v>
      </c>
    </row>
    <row r="50" spans="1:8">
      <c r="A50" s="413"/>
      <c r="B50" s="407"/>
      <c r="C50" s="409" t="s">
        <v>622</v>
      </c>
      <c r="D50" s="407">
        <v>8734</v>
      </c>
      <c r="E50" s="407">
        <v>5</v>
      </c>
      <c r="F50" s="408">
        <f t="shared" si="0"/>
        <v>43670</v>
      </c>
      <c r="G50">
        <v>8</v>
      </c>
      <c r="H50">
        <f t="shared" si="1"/>
        <v>69872</v>
      </c>
    </row>
    <row r="51" spans="1:8">
      <c r="A51" s="413">
        <v>17</v>
      </c>
      <c r="B51" s="407" t="s">
        <v>13</v>
      </c>
      <c r="C51" s="413" t="s">
        <v>620</v>
      </c>
      <c r="D51" s="408">
        <v>35779</v>
      </c>
      <c r="E51" s="408">
        <v>1.45</v>
      </c>
      <c r="F51" s="408">
        <f t="shared" si="0"/>
        <v>51879.549999999996</v>
      </c>
      <c r="G51">
        <v>8</v>
      </c>
      <c r="H51">
        <f t="shared" si="1"/>
        <v>286232</v>
      </c>
    </row>
    <row r="52" spans="1:8">
      <c r="A52" s="413"/>
      <c r="B52" s="407"/>
      <c r="C52" s="412" t="s">
        <v>621</v>
      </c>
      <c r="D52" s="410">
        <v>28036</v>
      </c>
      <c r="E52" s="410">
        <v>2.71</v>
      </c>
      <c r="F52" s="408">
        <f t="shared" si="0"/>
        <v>75977.56</v>
      </c>
      <c r="G52">
        <v>8</v>
      </c>
      <c r="H52">
        <f t="shared" si="1"/>
        <v>224288</v>
      </c>
    </row>
    <row r="53" spans="1:8">
      <c r="A53" s="413"/>
      <c r="B53" s="407"/>
      <c r="C53" s="409" t="s">
        <v>622</v>
      </c>
      <c r="D53" s="407"/>
      <c r="E53" s="407"/>
      <c r="F53" s="408"/>
      <c r="G53">
        <v>8</v>
      </c>
      <c r="H53">
        <f t="shared" si="1"/>
        <v>0</v>
      </c>
    </row>
    <row r="54" spans="1:8">
      <c r="A54" s="413">
        <v>18</v>
      </c>
      <c r="B54" s="407" t="s">
        <v>16</v>
      </c>
      <c r="C54" s="413" t="s">
        <v>620</v>
      </c>
      <c r="D54" s="407"/>
      <c r="E54" s="407"/>
      <c r="F54" s="408"/>
      <c r="G54">
        <v>8</v>
      </c>
      <c r="H54">
        <f t="shared" si="1"/>
        <v>0</v>
      </c>
    </row>
    <row r="55" spans="1:8">
      <c r="A55" s="413"/>
      <c r="B55" s="407"/>
      <c r="C55" s="412" t="s">
        <v>621</v>
      </c>
      <c r="D55" s="407"/>
      <c r="E55" s="407"/>
      <c r="F55" s="408"/>
      <c r="G55">
        <v>8</v>
      </c>
      <c r="H55">
        <f t="shared" si="1"/>
        <v>0</v>
      </c>
    </row>
    <row r="56" spans="1:8">
      <c r="A56" s="413"/>
      <c r="B56" s="407"/>
      <c r="C56" s="409" t="s">
        <v>622</v>
      </c>
      <c r="D56" s="407"/>
      <c r="E56" s="407"/>
      <c r="F56" s="408"/>
      <c r="G56">
        <v>8</v>
      </c>
      <c r="H56">
        <f t="shared" si="1"/>
        <v>0</v>
      </c>
    </row>
    <row r="57" spans="1:8" ht="30">
      <c r="A57" s="413">
        <v>19</v>
      </c>
      <c r="B57" s="415" t="s">
        <v>10</v>
      </c>
      <c r="C57" s="413" t="s">
        <v>620</v>
      </c>
      <c r="D57" s="407"/>
      <c r="E57" s="407"/>
      <c r="F57" s="408"/>
      <c r="G57">
        <v>8</v>
      </c>
      <c r="H57">
        <f t="shared" si="1"/>
        <v>0</v>
      </c>
    </row>
    <row r="58" spans="1:8">
      <c r="A58" s="413"/>
      <c r="B58" s="407"/>
      <c r="C58" s="412" t="s">
        <v>621</v>
      </c>
      <c r="D58" s="407"/>
      <c r="E58" s="407"/>
      <c r="F58" s="408"/>
      <c r="G58">
        <v>8</v>
      </c>
      <c r="H58">
        <f t="shared" si="1"/>
        <v>0</v>
      </c>
    </row>
    <row r="59" spans="1:8">
      <c r="A59" s="413"/>
      <c r="B59" s="407"/>
      <c r="C59" s="409" t="s">
        <v>622</v>
      </c>
      <c r="D59" s="407">
        <v>9833</v>
      </c>
      <c r="E59" s="407">
        <v>5</v>
      </c>
      <c r="F59" s="408">
        <f t="shared" si="0"/>
        <v>49165</v>
      </c>
      <c r="G59">
        <v>8</v>
      </c>
      <c r="H59">
        <f t="shared" si="1"/>
        <v>78664</v>
      </c>
    </row>
    <row r="60" spans="1:8">
      <c r="A60" s="413">
        <v>20</v>
      </c>
      <c r="B60" s="407" t="s">
        <v>55</v>
      </c>
      <c r="C60" s="413" t="s">
        <v>620</v>
      </c>
      <c r="D60" s="407"/>
      <c r="E60" s="407"/>
      <c r="F60" s="408"/>
      <c r="G60">
        <v>8</v>
      </c>
      <c r="H60">
        <f t="shared" si="1"/>
        <v>0</v>
      </c>
    </row>
    <row r="61" spans="1:8">
      <c r="A61" s="413"/>
      <c r="B61" s="407"/>
      <c r="C61" s="412" t="s">
        <v>621</v>
      </c>
      <c r="D61" s="407"/>
      <c r="E61" s="407"/>
      <c r="F61" s="408"/>
      <c r="G61">
        <v>8</v>
      </c>
      <c r="H61">
        <f t="shared" si="1"/>
        <v>0</v>
      </c>
    </row>
    <row r="62" spans="1:8">
      <c r="A62" s="413"/>
      <c r="B62" s="407"/>
      <c r="C62" s="409" t="s">
        <v>622</v>
      </c>
      <c r="D62" s="407">
        <v>15500</v>
      </c>
      <c r="E62" s="407">
        <v>5</v>
      </c>
      <c r="F62" s="408">
        <f t="shared" si="0"/>
        <v>77500</v>
      </c>
      <c r="G62">
        <v>8</v>
      </c>
      <c r="H62">
        <f t="shared" si="1"/>
        <v>124000</v>
      </c>
    </row>
    <row r="63" spans="1:8">
      <c r="A63" s="413">
        <v>21</v>
      </c>
      <c r="B63" s="407" t="s">
        <v>17</v>
      </c>
      <c r="C63" s="413" t="s">
        <v>620</v>
      </c>
      <c r="D63" s="408">
        <v>2000</v>
      </c>
      <c r="E63" s="408">
        <v>1</v>
      </c>
      <c r="F63" s="408">
        <f t="shared" si="0"/>
        <v>2000</v>
      </c>
      <c r="G63">
        <v>8</v>
      </c>
      <c r="H63">
        <f t="shared" si="1"/>
        <v>16000</v>
      </c>
    </row>
    <row r="64" spans="1:8">
      <c r="A64" s="413"/>
      <c r="B64" s="407"/>
      <c r="C64" s="412" t="s">
        <v>621</v>
      </c>
      <c r="D64" s="407"/>
      <c r="E64" s="407"/>
      <c r="F64" s="408"/>
      <c r="G64">
        <v>8</v>
      </c>
      <c r="H64">
        <f t="shared" si="1"/>
        <v>0</v>
      </c>
    </row>
    <row r="65" spans="1:8">
      <c r="A65" s="413"/>
      <c r="B65" s="407"/>
      <c r="C65" s="409" t="s">
        <v>622</v>
      </c>
      <c r="D65" s="407"/>
      <c r="E65" s="407"/>
      <c r="F65" s="408"/>
      <c r="G65">
        <v>8</v>
      </c>
      <c r="H65">
        <f t="shared" si="1"/>
        <v>0</v>
      </c>
    </row>
    <row r="66" spans="1:8">
      <c r="A66" s="413">
        <v>22</v>
      </c>
      <c r="B66" s="407" t="s">
        <v>38</v>
      </c>
      <c r="C66" s="413" t="s">
        <v>620</v>
      </c>
      <c r="D66" s="407"/>
      <c r="E66" s="407"/>
      <c r="F66" s="408"/>
      <c r="G66">
        <v>8</v>
      </c>
      <c r="H66">
        <f t="shared" si="1"/>
        <v>0</v>
      </c>
    </row>
    <row r="67" spans="1:8">
      <c r="A67" s="413"/>
      <c r="B67" s="407"/>
      <c r="C67" s="412" t="s">
        <v>621</v>
      </c>
      <c r="D67" s="407"/>
      <c r="E67" s="407"/>
      <c r="F67" s="408"/>
      <c r="G67">
        <v>8</v>
      </c>
      <c r="H67">
        <f t="shared" si="1"/>
        <v>0</v>
      </c>
    </row>
    <row r="68" spans="1:8">
      <c r="A68" s="413"/>
      <c r="B68" s="407"/>
      <c r="C68" s="409" t="s">
        <v>622</v>
      </c>
      <c r="D68" s="407"/>
      <c r="E68" s="407"/>
      <c r="F68" s="408"/>
      <c r="G68">
        <v>8</v>
      </c>
      <c r="H68">
        <f t="shared" ref="H68:H131" si="2">D68*G68</f>
        <v>0</v>
      </c>
    </row>
    <row r="69" spans="1:8">
      <c r="A69" s="413">
        <v>23</v>
      </c>
      <c r="B69" s="407" t="s">
        <v>18</v>
      </c>
      <c r="C69" s="413" t="s">
        <v>620</v>
      </c>
      <c r="D69" s="407"/>
      <c r="E69" s="407"/>
      <c r="F69" s="408"/>
      <c r="G69">
        <v>8</v>
      </c>
      <c r="H69">
        <f t="shared" si="2"/>
        <v>0</v>
      </c>
    </row>
    <row r="70" spans="1:8">
      <c r="A70" s="413"/>
      <c r="B70" s="407"/>
      <c r="C70" s="412" t="s">
        <v>621</v>
      </c>
      <c r="D70" s="407"/>
      <c r="E70" s="407"/>
      <c r="F70" s="408"/>
      <c r="G70">
        <v>8</v>
      </c>
      <c r="H70">
        <f t="shared" si="2"/>
        <v>0</v>
      </c>
    </row>
    <row r="71" spans="1:8">
      <c r="A71" s="413"/>
      <c r="B71" s="407"/>
      <c r="C71" s="409" t="s">
        <v>622</v>
      </c>
      <c r="D71" s="407">
        <v>15500</v>
      </c>
      <c r="E71" s="407">
        <v>5</v>
      </c>
      <c r="F71" s="408">
        <f t="shared" ref="F71:F131" si="3">D71*E71</f>
        <v>77500</v>
      </c>
      <c r="G71">
        <v>8</v>
      </c>
      <c r="H71">
        <f t="shared" si="2"/>
        <v>124000</v>
      </c>
    </row>
    <row r="72" spans="1:8">
      <c r="A72" s="413">
        <v>24</v>
      </c>
      <c r="B72" s="407" t="s">
        <v>19</v>
      </c>
      <c r="C72" s="413" t="s">
        <v>620</v>
      </c>
      <c r="D72" s="408">
        <v>15440</v>
      </c>
      <c r="E72" s="408">
        <v>3</v>
      </c>
      <c r="F72" s="408">
        <f t="shared" si="3"/>
        <v>46320</v>
      </c>
      <c r="G72">
        <v>8</v>
      </c>
      <c r="H72">
        <f t="shared" si="2"/>
        <v>123520</v>
      </c>
    </row>
    <row r="73" spans="1:8">
      <c r="A73" s="413"/>
      <c r="B73" s="407"/>
      <c r="C73" s="412" t="s">
        <v>621</v>
      </c>
      <c r="D73" s="407"/>
      <c r="E73" s="407"/>
      <c r="F73" s="408"/>
      <c r="G73">
        <v>8</v>
      </c>
      <c r="H73">
        <f t="shared" si="2"/>
        <v>0</v>
      </c>
    </row>
    <row r="74" spans="1:8">
      <c r="A74" s="413"/>
      <c r="B74" s="407"/>
      <c r="C74" s="409" t="s">
        <v>622</v>
      </c>
      <c r="D74" s="407">
        <v>16940</v>
      </c>
      <c r="E74" s="407">
        <v>3</v>
      </c>
      <c r="F74" s="408">
        <f t="shared" si="3"/>
        <v>50820</v>
      </c>
      <c r="G74">
        <v>8</v>
      </c>
      <c r="H74">
        <f t="shared" si="2"/>
        <v>135520</v>
      </c>
    </row>
    <row r="75" spans="1:8">
      <c r="A75" s="413">
        <v>25</v>
      </c>
      <c r="B75" s="407" t="s">
        <v>14</v>
      </c>
      <c r="C75" s="413" t="s">
        <v>620</v>
      </c>
      <c r="D75" s="407"/>
      <c r="E75" s="407"/>
      <c r="F75" s="408"/>
      <c r="G75">
        <v>8</v>
      </c>
      <c r="H75">
        <f t="shared" si="2"/>
        <v>0</v>
      </c>
    </row>
    <row r="76" spans="1:8">
      <c r="A76" s="413"/>
      <c r="B76" s="407"/>
      <c r="C76" s="412" t="s">
        <v>621</v>
      </c>
      <c r="D76" s="407"/>
      <c r="E76" s="407"/>
      <c r="F76" s="408"/>
      <c r="G76">
        <v>8</v>
      </c>
      <c r="H76">
        <f t="shared" si="2"/>
        <v>0</v>
      </c>
    </row>
    <row r="77" spans="1:8">
      <c r="A77" s="413"/>
      <c r="B77" s="407"/>
      <c r="C77" s="409" t="s">
        <v>622</v>
      </c>
      <c r="D77" s="407">
        <v>3500</v>
      </c>
      <c r="E77" s="407">
        <v>5</v>
      </c>
      <c r="F77" s="408">
        <f t="shared" si="3"/>
        <v>17500</v>
      </c>
      <c r="G77">
        <v>8</v>
      </c>
      <c r="H77">
        <f t="shared" si="2"/>
        <v>28000</v>
      </c>
    </row>
    <row r="78" spans="1:8">
      <c r="A78" s="413">
        <v>26</v>
      </c>
      <c r="B78" s="407" t="s">
        <v>23</v>
      </c>
      <c r="C78" s="413" t="s">
        <v>620</v>
      </c>
      <c r="D78" s="407"/>
      <c r="E78" s="407"/>
      <c r="F78" s="408"/>
      <c r="G78">
        <v>8</v>
      </c>
      <c r="H78">
        <f t="shared" si="2"/>
        <v>0</v>
      </c>
    </row>
    <row r="79" spans="1:8">
      <c r="A79" s="413"/>
      <c r="B79" s="407"/>
      <c r="C79" s="412" t="s">
        <v>621</v>
      </c>
      <c r="D79" s="407"/>
      <c r="E79" s="407"/>
      <c r="F79" s="408"/>
      <c r="G79">
        <v>8</v>
      </c>
      <c r="H79">
        <f t="shared" si="2"/>
        <v>0</v>
      </c>
    </row>
    <row r="80" spans="1:8">
      <c r="A80" s="413"/>
      <c r="B80" s="407"/>
      <c r="C80" s="409" t="s">
        <v>622</v>
      </c>
      <c r="D80" s="407">
        <v>15000</v>
      </c>
      <c r="E80" s="407">
        <v>5</v>
      </c>
      <c r="F80" s="408">
        <f t="shared" si="3"/>
        <v>75000</v>
      </c>
      <c r="G80">
        <v>8</v>
      </c>
      <c r="H80">
        <f t="shared" si="2"/>
        <v>120000</v>
      </c>
    </row>
    <row r="81" spans="1:8">
      <c r="A81" s="413">
        <v>27</v>
      </c>
      <c r="B81" s="407" t="s">
        <v>36</v>
      </c>
      <c r="C81" s="413" t="s">
        <v>620</v>
      </c>
      <c r="D81" s="407"/>
      <c r="E81" s="407"/>
      <c r="F81" s="408"/>
      <c r="G81">
        <v>8</v>
      </c>
      <c r="H81">
        <f t="shared" si="2"/>
        <v>0</v>
      </c>
    </row>
    <row r="82" spans="1:8">
      <c r="A82" s="413"/>
      <c r="B82" s="407"/>
      <c r="C82" s="412" t="s">
        <v>621</v>
      </c>
      <c r="D82" s="407"/>
      <c r="E82" s="407"/>
      <c r="F82" s="408"/>
      <c r="G82">
        <v>8</v>
      </c>
      <c r="H82">
        <f t="shared" si="2"/>
        <v>0</v>
      </c>
    </row>
    <row r="83" spans="1:8">
      <c r="A83" s="413"/>
      <c r="B83" s="407"/>
      <c r="C83" s="409" t="s">
        <v>622</v>
      </c>
      <c r="D83" s="407">
        <v>22600</v>
      </c>
      <c r="E83" s="407">
        <v>5</v>
      </c>
      <c r="F83" s="408">
        <f t="shared" si="3"/>
        <v>113000</v>
      </c>
      <c r="G83">
        <v>8</v>
      </c>
      <c r="H83">
        <f t="shared" si="2"/>
        <v>180800</v>
      </c>
    </row>
    <row r="84" spans="1:8">
      <c r="A84" s="413">
        <v>28</v>
      </c>
      <c r="B84" s="407" t="s">
        <v>21</v>
      </c>
      <c r="C84" s="413" t="s">
        <v>620</v>
      </c>
      <c r="D84" s="408">
        <v>10500</v>
      </c>
      <c r="E84" s="408">
        <v>2.75</v>
      </c>
      <c r="F84" s="408">
        <f t="shared" si="3"/>
        <v>28875</v>
      </c>
      <c r="G84">
        <v>8</v>
      </c>
      <c r="H84">
        <f t="shared" si="2"/>
        <v>84000</v>
      </c>
    </row>
    <row r="85" spans="1:8">
      <c r="A85" s="413"/>
      <c r="B85" s="407"/>
      <c r="C85" s="412" t="s">
        <v>621</v>
      </c>
      <c r="D85" s="410">
        <v>7853</v>
      </c>
      <c r="E85" s="410">
        <v>1.6</v>
      </c>
      <c r="F85" s="408">
        <f t="shared" si="3"/>
        <v>12564.800000000001</v>
      </c>
      <c r="G85">
        <v>8</v>
      </c>
      <c r="H85">
        <f t="shared" si="2"/>
        <v>62824</v>
      </c>
    </row>
    <row r="86" spans="1:8">
      <c r="A86" s="413"/>
      <c r="B86" s="407"/>
      <c r="C86" s="409" t="s">
        <v>622</v>
      </c>
      <c r="D86" s="407">
        <v>15000</v>
      </c>
      <c r="E86" s="407">
        <v>5</v>
      </c>
      <c r="F86" s="408">
        <f t="shared" si="3"/>
        <v>75000</v>
      </c>
      <c r="G86">
        <v>8</v>
      </c>
      <c r="H86">
        <f t="shared" si="2"/>
        <v>120000</v>
      </c>
    </row>
    <row r="87" spans="1:8">
      <c r="A87" s="413">
        <v>29</v>
      </c>
      <c r="B87" s="407" t="s">
        <v>27</v>
      </c>
      <c r="C87" s="413" t="s">
        <v>620</v>
      </c>
      <c r="D87" s="407"/>
      <c r="E87" s="407"/>
      <c r="F87" s="408"/>
      <c r="G87">
        <v>8</v>
      </c>
      <c r="H87">
        <f t="shared" si="2"/>
        <v>0</v>
      </c>
    </row>
    <row r="88" spans="1:8">
      <c r="A88" s="413"/>
      <c r="B88" s="407"/>
      <c r="C88" s="412" t="s">
        <v>621</v>
      </c>
      <c r="D88" s="407"/>
      <c r="E88" s="407"/>
      <c r="F88" s="408"/>
      <c r="G88">
        <v>8</v>
      </c>
      <c r="H88">
        <f t="shared" si="2"/>
        <v>0</v>
      </c>
    </row>
    <row r="89" spans="1:8">
      <c r="A89" s="413"/>
      <c r="B89" s="407"/>
      <c r="C89" s="409" t="s">
        <v>622</v>
      </c>
      <c r="D89" s="407">
        <v>7860</v>
      </c>
      <c r="E89" s="407">
        <v>4.38</v>
      </c>
      <c r="F89" s="408">
        <f t="shared" si="3"/>
        <v>34426.799999999996</v>
      </c>
      <c r="G89">
        <v>8</v>
      </c>
      <c r="H89">
        <f t="shared" si="2"/>
        <v>62880</v>
      </c>
    </row>
    <row r="90" spans="1:8">
      <c r="A90" s="413">
        <v>30</v>
      </c>
      <c r="B90" s="407" t="s">
        <v>35</v>
      </c>
      <c r="C90" s="413" t="s">
        <v>620</v>
      </c>
      <c r="D90" s="407"/>
      <c r="E90" s="407"/>
      <c r="F90" s="408"/>
      <c r="G90">
        <v>8</v>
      </c>
      <c r="H90">
        <f t="shared" si="2"/>
        <v>0</v>
      </c>
    </row>
    <row r="91" spans="1:8">
      <c r="A91" s="413"/>
      <c r="B91" s="407"/>
      <c r="C91" s="412" t="s">
        <v>621</v>
      </c>
      <c r="D91" s="407"/>
      <c r="E91" s="407"/>
      <c r="F91" s="408"/>
      <c r="G91">
        <v>8</v>
      </c>
      <c r="H91">
        <f t="shared" si="2"/>
        <v>0</v>
      </c>
    </row>
    <row r="92" spans="1:8">
      <c r="A92" s="413"/>
      <c r="B92" s="407"/>
      <c r="C92" s="409" t="s">
        <v>622</v>
      </c>
      <c r="D92" s="407">
        <v>6370</v>
      </c>
      <c r="E92" s="407">
        <v>6</v>
      </c>
      <c r="F92" s="408">
        <f t="shared" si="3"/>
        <v>38220</v>
      </c>
      <c r="G92">
        <v>8</v>
      </c>
      <c r="H92">
        <f t="shared" si="2"/>
        <v>50960</v>
      </c>
    </row>
    <row r="93" spans="1:8">
      <c r="A93" s="413">
        <v>31</v>
      </c>
      <c r="B93" s="407" t="s">
        <v>31</v>
      </c>
      <c r="C93" s="413" t="s">
        <v>620</v>
      </c>
      <c r="D93" s="408">
        <v>14500</v>
      </c>
      <c r="E93" s="408">
        <v>5</v>
      </c>
      <c r="F93" s="408">
        <f t="shared" si="3"/>
        <v>72500</v>
      </c>
      <c r="G93">
        <v>8</v>
      </c>
      <c r="H93">
        <f t="shared" si="2"/>
        <v>116000</v>
      </c>
    </row>
    <row r="94" spans="1:8">
      <c r="A94" s="413"/>
      <c r="B94" s="407"/>
      <c r="C94" s="412" t="s">
        <v>621</v>
      </c>
      <c r="D94" s="410">
        <v>12828</v>
      </c>
      <c r="E94" s="410">
        <v>5</v>
      </c>
      <c r="F94" s="408">
        <f t="shared" si="3"/>
        <v>64140</v>
      </c>
      <c r="G94">
        <v>8</v>
      </c>
      <c r="H94">
        <f t="shared" si="2"/>
        <v>102624</v>
      </c>
    </row>
    <row r="95" spans="1:8">
      <c r="A95" s="413"/>
      <c r="B95" s="407"/>
      <c r="C95" s="409" t="s">
        <v>622</v>
      </c>
      <c r="D95" s="407">
        <v>9666</v>
      </c>
      <c r="E95" s="407">
        <v>5</v>
      </c>
      <c r="F95" s="408">
        <f t="shared" si="3"/>
        <v>48330</v>
      </c>
      <c r="G95">
        <v>8</v>
      </c>
      <c r="H95">
        <f t="shared" si="2"/>
        <v>77328</v>
      </c>
    </row>
    <row r="96" spans="1:8">
      <c r="A96" s="413">
        <v>32</v>
      </c>
      <c r="B96" s="407" t="s">
        <v>30</v>
      </c>
      <c r="C96" s="413" t="s">
        <v>620</v>
      </c>
      <c r="D96" s="408">
        <v>11355</v>
      </c>
      <c r="E96" s="408">
        <v>3.77</v>
      </c>
      <c r="F96" s="408">
        <f t="shared" si="3"/>
        <v>42808.35</v>
      </c>
      <c r="G96">
        <v>8</v>
      </c>
      <c r="H96">
        <f t="shared" si="2"/>
        <v>90840</v>
      </c>
    </row>
    <row r="97" spans="1:8">
      <c r="A97" s="413"/>
      <c r="B97" s="407"/>
      <c r="C97" s="412" t="s">
        <v>621</v>
      </c>
      <c r="D97" s="410">
        <v>7528</v>
      </c>
      <c r="E97" s="410">
        <v>3.42</v>
      </c>
      <c r="F97" s="408">
        <f t="shared" si="3"/>
        <v>25745.759999999998</v>
      </c>
      <c r="G97">
        <v>8</v>
      </c>
      <c r="H97">
        <f t="shared" si="2"/>
        <v>60224</v>
      </c>
    </row>
    <row r="98" spans="1:8">
      <c r="A98" s="413"/>
      <c r="B98" s="407"/>
      <c r="C98" s="409" t="s">
        <v>622</v>
      </c>
      <c r="D98" s="407">
        <v>10788</v>
      </c>
      <c r="E98" s="407">
        <v>3.74</v>
      </c>
      <c r="F98" s="408">
        <f t="shared" si="3"/>
        <v>40347.120000000003</v>
      </c>
      <c r="G98">
        <v>8</v>
      </c>
      <c r="H98">
        <f t="shared" si="2"/>
        <v>86304</v>
      </c>
    </row>
    <row r="99" spans="1:8">
      <c r="A99" s="413">
        <v>33</v>
      </c>
      <c r="B99" s="407" t="s">
        <v>32</v>
      </c>
      <c r="C99" s="413" t="s">
        <v>620</v>
      </c>
      <c r="D99" s="407"/>
      <c r="E99" s="407"/>
      <c r="F99" s="408"/>
      <c r="G99">
        <v>8</v>
      </c>
      <c r="H99">
        <f t="shared" si="2"/>
        <v>0</v>
      </c>
    </row>
    <row r="100" spans="1:8">
      <c r="A100" s="413"/>
      <c r="B100" s="407"/>
      <c r="C100" s="412" t="s">
        <v>621</v>
      </c>
      <c r="D100" s="410">
        <v>2000</v>
      </c>
      <c r="E100" s="410">
        <v>1.5</v>
      </c>
      <c r="F100" s="408">
        <f t="shared" si="3"/>
        <v>3000</v>
      </c>
      <c r="G100">
        <v>8</v>
      </c>
      <c r="H100">
        <f t="shared" si="2"/>
        <v>16000</v>
      </c>
    </row>
    <row r="101" spans="1:8">
      <c r="A101" s="413"/>
      <c r="B101" s="407"/>
      <c r="C101" s="409" t="s">
        <v>622</v>
      </c>
      <c r="D101" s="407">
        <v>6000</v>
      </c>
      <c r="E101" s="407">
        <v>4.8</v>
      </c>
      <c r="F101" s="408">
        <f t="shared" si="3"/>
        <v>28800</v>
      </c>
      <c r="G101">
        <v>8</v>
      </c>
      <c r="H101">
        <f t="shared" si="2"/>
        <v>48000</v>
      </c>
    </row>
    <row r="102" spans="1:8">
      <c r="A102" s="413">
        <v>34</v>
      </c>
      <c r="B102" s="407" t="s">
        <v>33</v>
      </c>
      <c r="C102" s="413" t="s">
        <v>620</v>
      </c>
      <c r="D102" s="407"/>
      <c r="E102" s="407"/>
      <c r="F102" s="408"/>
      <c r="G102">
        <v>8</v>
      </c>
      <c r="H102">
        <f t="shared" si="2"/>
        <v>0</v>
      </c>
    </row>
    <row r="103" spans="1:8">
      <c r="A103" s="413"/>
      <c r="B103" s="407"/>
      <c r="C103" s="412" t="s">
        <v>621</v>
      </c>
      <c r="D103" s="407"/>
      <c r="E103" s="407"/>
      <c r="F103" s="408"/>
      <c r="G103">
        <v>8</v>
      </c>
      <c r="H103">
        <f t="shared" si="2"/>
        <v>0</v>
      </c>
    </row>
    <row r="104" spans="1:8">
      <c r="A104" s="413"/>
      <c r="B104" s="407"/>
      <c r="C104" s="409" t="s">
        <v>622</v>
      </c>
      <c r="D104" s="407"/>
      <c r="E104" s="407"/>
      <c r="F104" s="408"/>
      <c r="G104">
        <v>8</v>
      </c>
      <c r="H104">
        <f t="shared" si="2"/>
        <v>0</v>
      </c>
    </row>
    <row r="105" spans="1:8">
      <c r="A105" s="413">
        <v>35</v>
      </c>
      <c r="B105" s="407" t="s">
        <v>11</v>
      </c>
      <c r="C105" s="413" t="s">
        <v>620</v>
      </c>
      <c r="D105" s="407"/>
      <c r="E105" s="407"/>
      <c r="F105" s="408"/>
      <c r="G105">
        <v>8</v>
      </c>
      <c r="H105">
        <f t="shared" si="2"/>
        <v>0</v>
      </c>
    </row>
    <row r="106" spans="1:8">
      <c r="A106" s="413"/>
      <c r="B106" s="407"/>
      <c r="C106" s="412" t="s">
        <v>621</v>
      </c>
      <c r="D106" s="410">
        <v>17068</v>
      </c>
      <c r="E106" s="410">
        <v>1.75</v>
      </c>
      <c r="F106" s="408">
        <f t="shared" si="3"/>
        <v>29869</v>
      </c>
      <c r="G106">
        <v>8</v>
      </c>
      <c r="H106">
        <f t="shared" si="2"/>
        <v>136544</v>
      </c>
    </row>
    <row r="107" spans="1:8">
      <c r="A107" s="413"/>
      <c r="B107" s="407"/>
      <c r="C107" s="409" t="s">
        <v>622</v>
      </c>
      <c r="D107" s="407"/>
      <c r="E107" s="407"/>
      <c r="F107" s="408"/>
      <c r="G107">
        <v>8</v>
      </c>
      <c r="H107">
        <f t="shared" si="2"/>
        <v>0</v>
      </c>
    </row>
    <row r="108" spans="1:8">
      <c r="A108" s="413">
        <v>36</v>
      </c>
      <c r="B108" s="407" t="s">
        <v>34</v>
      </c>
      <c r="C108" s="413" t="s">
        <v>620</v>
      </c>
      <c r="D108" s="408">
        <v>4500</v>
      </c>
      <c r="E108" s="408">
        <v>2</v>
      </c>
      <c r="F108" s="408">
        <f t="shared" si="3"/>
        <v>9000</v>
      </c>
      <c r="G108">
        <v>8</v>
      </c>
      <c r="H108">
        <f t="shared" si="2"/>
        <v>36000</v>
      </c>
    </row>
    <row r="109" spans="1:8">
      <c r="A109" s="413"/>
      <c r="B109" s="407"/>
      <c r="C109" s="412" t="s">
        <v>621</v>
      </c>
      <c r="D109" s="410">
        <v>4126.7700000000004</v>
      </c>
      <c r="E109" s="410">
        <v>2.5499999999999998</v>
      </c>
      <c r="F109" s="408">
        <f t="shared" si="3"/>
        <v>10523.263500000001</v>
      </c>
      <c r="G109">
        <v>8</v>
      </c>
      <c r="H109">
        <f t="shared" si="2"/>
        <v>33014.160000000003</v>
      </c>
    </row>
    <row r="110" spans="1:8">
      <c r="A110" s="413"/>
      <c r="B110" s="407"/>
      <c r="C110" s="409" t="s">
        <v>622</v>
      </c>
      <c r="D110" s="407">
        <v>3933</v>
      </c>
      <c r="E110" s="407">
        <v>2</v>
      </c>
      <c r="F110" s="408">
        <f t="shared" si="3"/>
        <v>7866</v>
      </c>
      <c r="G110">
        <v>8</v>
      </c>
      <c r="H110">
        <f t="shared" si="2"/>
        <v>31464</v>
      </c>
    </row>
    <row r="111" spans="1:8">
      <c r="A111" s="413">
        <v>37</v>
      </c>
      <c r="B111" s="407" t="s">
        <v>40</v>
      </c>
      <c r="C111" s="413" t="s">
        <v>620</v>
      </c>
      <c r="D111" s="408">
        <v>19500</v>
      </c>
      <c r="E111" s="408">
        <v>2</v>
      </c>
      <c r="F111" s="408">
        <f t="shared" si="3"/>
        <v>39000</v>
      </c>
      <c r="G111">
        <v>8</v>
      </c>
      <c r="H111">
        <f t="shared" si="2"/>
        <v>156000</v>
      </c>
    </row>
    <row r="112" spans="1:8">
      <c r="A112" s="413"/>
      <c r="B112" s="407"/>
      <c r="C112" s="412" t="s">
        <v>621</v>
      </c>
      <c r="D112" s="410">
        <v>24179</v>
      </c>
      <c r="E112" s="410">
        <v>4.3099999999999996</v>
      </c>
      <c r="F112" s="408">
        <f t="shared" si="3"/>
        <v>104211.48999999999</v>
      </c>
      <c r="G112">
        <v>8</v>
      </c>
      <c r="H112">
        <f t="shared" si="2"/>
        <v>193432</v>
      </c>
    </row>
    <row r="113" spans="1:8">
      <c r="A113" s="413"/>
      <c r="B113" s="407"/>
      <c r="C113" s="409" t="s">
        <v>622</v>
      </c>
      <c r="D113" s="407">
        <v>9483</v>
      </c>
      <c r="E113" s="407">
        <v>5.08</v>
      </c>
      <c r="F113" s="408">
        <f t="shared" si="3"/>
        <v>48173.64</v>
      </c>
      <c r="G113">
        <v>8</v>
      </c>
      <c r="H113">
        <f t="shared" si="2"/>
        <v>75864</v>
      </c>
    </row>
    <row r="114" spans="1:8">
      <c r="A114" s="413">
        <v>38</v>
      </c>
      <c r="B114" s="407" t="s">
        <v>37</v>
      </c>
      <c r="C114" s="413" t="s">
        <v>620</v>
      </c>
      <c r="D114" s="407"/>
      <c r="E114" s="407"/>
      <c r="F114" s="408"/>
      <c r="G114">
        <v>8</v>
      </c>
      <c r="H114">
        <f t="shared" si="2"/>
        <v>0</v>
      </c>
    </row>
    <row r="115" spans="1:8">
      <c r="A115" s="413"/>
      <c r="B115" s="407"/>
      <c r="C115" s="412" t="s">
        <v>621</v>
      </c>
      <c r="D115" s="410">
        <v>17711</v>
      </c>
      <c r="E115" s="410">
        <v>4.7699999999999996</v>
      </c>
      <c r="F115" s="408">
        <f t="shared" si="3"/>
        <v>84481.469999999987</v>
      </c>
      <c r="G115">
        <v>8</v>
      </c>
      <c r="H115">
        <f t="shared" si="2"/>
        <v>141688</v>
      </c>
    </row>
    <row r="116" spans="1:8">
      <c r="A116" s="413"/>
      <c r="B116" s="407"/>
      <c r="C116" s="409" t="s">
        <v>622</v>
      </c>
      <c r="D116" s="407"/>
      <c r="E116" s="407"/>
      <c r="F116" s="408"/>
      <c r="G116">
        <v>8</v>
      </c>
      <c r="H116">
        <f t="shared" si="2"/>
        <v>0</v>
      </c>
    </row>
    <row r="117" spans="1:8" ht="30">
      <c r="A117" s="413">
        <v>39</v>
      </c>
      <c r="B117" s="415" t="s">
        <v>20</v>
      </c>
      <c r="C117" s="413" t="s">
        <v>620</v>
      </c>
      <c r="D117" s="408">
        <v>3650</v>
      </c>
      <c r="E117" s="408">
        <v>3.08</v>
      </c>
      <c r="F117" s="408">
        <f t="shared" si="3"/>
        <v>11242</v>
      </c>
      <c r="G117">
        <v>8</v>
      </c>
      <c r="H117">
        <f t="shared" si="2"/>
        <v>29200</v>
      </c>
    </row>
    <row r="118" spans="1:8">
      <c r="A118" s="413"/>
      <c r="B118" s="407"/>
      <c r="C118" s="412" t="s">
        <v>621</v>
      </c>
      <c r="D118" s="407"/>
      <c r="E118" s="407"/>
      <c r="F118" s="408"/>
      <c r="G118">
        <v>8</v>
      </c>
      <c r="H118">
        <f t="shared" si="2"/>
        <v>0</v>
      </c>
    </row>
    <row r="119" spans="1:8">
      <c r="A119" s="413"/>
      <c r="B119" s="407"/>
      <c r="C119" s="409" t="s">
        <v>622</v>
      </c>
      <c r="D119" s="407">
        <v>5620.63</v>
      </c>
      <c r="E119" s="407">
        <v>3.27</v>
      </c>
      <c r="F119" s="408">
        <f t="shared" si="3"/>
        <v>18379.4601</v>
      </c>
      <c r="G119">
        <v>8</v>
      </c>
      <c r="H119">
        <f t="shared" si="2"/>
        <v>44965.04</v>
      </c>
    </row>
    <row r="120" spans="1:8">
      <c r="A120" s="413">
        <v>40</v>
      </c>
      <c r="B120" s="407" t="s">
        <v>42</v>
      </c>
      <c r="C120" s="413" t="s">
        <v>620</v>
      </c>
      <c r="D120" s="408"/>
      <c r="E120" s="408"/>
      <c r="F120" s="408"/>
      <c r="G120">
        <v>8</v>
      </c>
      <c r="H120">
        <f t="shared" si="2"/>
        <v>0</v>
      </c>
    </row>
    <row r="121" spans="1:8">
      <c r="A121" s="413"/>
      <c r="B121" s="407"/>
      <c r="C121" s="412" t="s">
        <v>621</v>
      </c>
      <c r="D121" s="410">
        <v>30500</v>
      </c>
      <c r="E121" s="410">
        <v>5</v>
      </c>
      <c r="F121" s="408">
        <f t="shared" si="3"/>
        <v>152500</v>
      </c>
      <c r="G121">
        <v>8</v>
      </c>
      <c r="H121">
        <f t="shared" si="2"/>
        <v>244000</v>
      </c>
    </row>
    <row r="122" spans="1:8">
      <c r="A122" s="413"/>
      <c r="B122" s="407"/>
      <c r="C122" s="409" t="s">
        <v>622</v>
      </c>
      <c r="D122" s="407">
        <v>13543</v>
      </c>
      <c r="E122" s="407">
        <v>5</v>
      </c>
      <c r="F122" s="408">
        <f t="shared" si="3"/>
        <v>67715</v>
      </c>
      <c r="G122">
        <v>8</v>
      </c>
      <c r="H122">
        <f t="shared" si="2"/>
        <v>108344</v>
      </c>
    </row>
    <row r="123" spans="1:8">
      <c r="A123" s="413">
        <v>41</v>
      </c>
      <c r="B123" s="407" t="s">
        <v>26</v>
      </c>
      <c r="C123" s="413" t="s">
        <v>620</v>
      </c>
      <c r="D123" s="407"/>
      <c r="E123" s="407"/>
      <c r="F123" s="408"/>
      <c r="G123">
        <v>8</v>
      </c>
      <c r="H123">
        <f t="shared" si="2"/>
        <v>0</v>
      </c>
    </row>
    <row r="124" spans="1:8">
      <c r="A124" s="413"/>
      <c r="B124" s="407"/>
      <c r="C124" s="412" t="s">
        <v>621</v>
      </c>
      <c r="D124" s="410">
        <v>5850</v>
      </c>
      <c r="E124" s="410">
        <v>4</v>
      </c>
      <c r="F124" s="408">
        <f t="shared" si="3"/>
        <v>23400</v>
      </c>
      <c r="G124">
        <v>8</v>
      </c>
      <c r="H124">
        <f t="shared" si="2"/>
        <v>46800</v>
      </c>
    </row>
    <row r="125" spans="1:8">
      <c r="A125" s="413"/>
      <c r="B125" s="407"/>
      <c r="C125" s="409" t="s">
        <v>622</v>
      </c>
      <c r="D125" s="407"/>
      <c r="E125" s="407"/>
      <c r="F125" s="408"/>
      <c r="G125">
        <v>8</v>
      </c>
      <c r="H125">
        <f t="shared" si="2"/>
        <v>0</v>
      </c>
    </row>
    <row r="126" spans="1:8">
      <c r="A126" s="413">
        <v>42</v>
      </c>
      <c r="B126" s="407" t="s">
        <v>15</v>
      </c>
      <c r="C126" s="413" t="s">
        <v>620</v>
      </c>
      <c r="D126" s="407"/>
      <c r="E126" s="407"/>
      <c r="F126" s="408"/>
      <c r="G126">
        <v>8</v>
      </c>
      <c r="H126">
        <f t="shared" si="2"/>
        <v>0</v>
      </c>
    </row>
    <row r="127" spans="1:8">
      <c r="A127" s="413"/>
      <c r="B127" s="407"/>
      <c r="C127" s="412" t="s">
        <v>621</v>
      </c>
      <c r="D127" s="410">
        <v>9000</v>
      </c>
      <c r="E127" s="410">
        <v>3</v>
      </c>
      <c r="F127" s="408">
        <f t="shared" si="3"/>
        <v>27000</v>
      </c>
      <c r="G127">
        <v>8</v>
      </c>
      <c r="H127">
        <f t="shared" si="2"/>
        <v>72000</v>
      </c>
    </row>
    <row r="128" spans="1:8">
      <c r="A128" s="413"/>
      <c r="B128" s="407"/>
      <c r="C128" s="409" t="s">
        <v>622</v>
      </c>
      <c r="D128" s="407"/>
      <c r="E128" s="407"/>
      <c r="F128" s="408"/>
      <c r="G128">
        <v>8</v>
      </c>
      <c r="H128">
        <f t="shared" si="2"/>
        <v>0</v>
      </c>
    </row>
    <row r="129" spans="1:8">
      <c r="A129" s="413">
        <v>43</v>
      </c>
      <c r="B129" s="407" t="s">
        <v>25</v>
      </c>
      <c r="C129" s="413" t="s">
        <v>620</v>
      </c>
      <c r="D129" s="408">
        <v>13866</v>
      </c>
      <c r="E129" s="408">
        <v>5</v>
      </c>
      <c r="F129" s="408">
        <f t="shared" si="3"/>
        <v>69330</v>
      </c>
      <c r="G129">
        <v>8</v>
      </c>
      <c r="H129">
        <f t="shared" si="2"/>
        <v>110928</v>
      </c>
    </row>
    <row r="130" spans="1:8">
      <c r="A130" s="413"/>
      <c r="B130" s="407"/>
      <c r="C130" s="412" t="s">
        <v>621</v>
      </c>
      <c r="D130" s="407"/>
      <c r="E130" s="407"/>
      <c r="F130" s="408"/>
      <c r="G130">
        <v>8</v>
      </c>
      <c r="H130">
        <f t="shared" si="2"/>
        <v>0</v>
      </c>
    </row>
    <row r="131" spans="1:8">
      <c r="A131" s="413"/>
      <c r="B131" s="407"/>
      <c r="C131" s="409" t="s">
        <v>622</v>
      </c>
      <c r="D131" s="407">
        <v>18285.7</v>
      </c>
      <c r="E131" s="407">
        <v>5</v>
      </c>
      <c r="F131" s="408">
        <f t="shared" si="3"/>
        <v>91428.5</v>
      </c>
      <c r="G131">
        <v>8</v>
      </c>
      <c r="H131">
        <f t="shared" si="2"/>
        <v>146285.6</v>
      </c>
    </row>
    <row r="132" spans="1:8">
      <c r="A132" s="413">
        <v>44</v>
      </c>
      <c r="B132" s="407" t="s">
        <v>24</v>
      </c>
      <c r="C132" s="413" t="s">
        <v>620</v>
      </c>
      <c r="D132" s="407"/>
      <c r="E132" s="407"/>
      <c r="F132" s="408"/>
      <c r="G132">
        <v>8</v>
      </c>
      <c r="H132">
        <f t="shared" ref="H132:H137" si="4">D132*G132</f>
        <v>0</v>
      </c>
    </row>
    <row r="133" spans="1:8">
      <c r="A133" s="413"/>
      <c r="B133" s="407"/>
      <c r="C133" s="412" t="s">
        <v>621</v>
      </c>
      <c r="D133" s="407"/>
      <c r="E133" s="407"/>
      <c r="F133" s="408"/>
      <c r="G133">
        <v>8</v>
      </c>
      <c r="H133">
        <f t="shared" si="4"/>
        <v>0</v>
      </c>
    </row>
    <row r="134" spans="1:8">
      <c r="A134" s="413"/>
      <c r="B134" s="407"/>
      <c r="C134" s="409" t="s">
        <v>622</v>
      </c>
      <c r="D134" s="407"/>
      <c r="E134" s="407"/>
      <c r="F134" s="408"/>
      <c r="G134">
        <v>8</v>
      </c>
      <c r="H134">
        <f t="shared" si="4"/>
        <v>0</v>
      </c>
    </row>
    <row r="135" spans="1:8">
      <c r="A135" s="529"/>
      <c r="B135" s="529" t="s">
        <v>624</v>
      </c>
      <c r="C135" s="413" t="s">
        <v>620</v>
      </c>
      <c r="D135" s="407">
        <v>15978.18</v>
      </c>
      <c r="E135" s="407">
        <v>3.68</v>
      </c>
      <c r="F135" s="408">
        <f>D135*E135</f>
        <v>58799.702400000002</v>
      </c>
      <c r="G135">
        <v>8</v>
      </c>
      <c r="H135">
        <f t="shared" si="4"/>
        <v>127825.44</v>
      </c>
    </row>
    <row r="136" spans="1:8">
      <c r="A136" s="529"/>
      <c r="B136" s="529"/>
      <c r="C136" s="412" t="s">
        <v>621</v>
      </c>
      <c r="D136" s="407">
        <v>15652</v>
      </c>
      <c r="E136" s="407">
        <v>3.69</v>
      </c>
      <c r="F136" s="408">
        <f>D136*E136</f>
        <v>57755.88</v>
      </c>
      <c r="G136">
        <v>8</v>
      </c>
      <c r="H136">
        <f t="shared" si="4"/>
        <v>125216</v>
      </c>
    </row>
    <row r="137" spans="1:8">
      <c r="A137" s="529"/>
      <c r="B137" s="529"/>
      <c r="C137" s="409" t="s">
        <v>622</v>
      </c>
      <c r="D137" s="407">
        <v>12717</v>
      </c>
      <c r="E137" s="407">
        <v>4.38</v>
      </c>
      <c r="F137" s="408">
        <f>D137*E137</f>
        <v>55700.46</v>
      </c>
      <c r="G137">
        <v>8</v>
      </c>
      <c r="H137">
        <f t="shared" si="4"/>
        <v>101736</v>
      </c>
    </row>
    <row r="138" spans="1:8">
      <c r="A138" s="530" t="s">
        <v>116</v>
      </c>
      <c r="B138" s="530"/>
      <c r="C138" s="530"/>
      <c r="D138" s="530"/>
      <c r="E138" s="530"/>
      <c r="F138" s="530"/>
    </row>
    <row r="139" spans="1:8" ht="38.450000000000003" customHeight="1">
      <c r="A139" s="530"/>
      <c r="B139" s="530"/>
      <c r="C139" s="530"/>
      <c r="D139" s="530"/>
      <c r="E139" s="530"/>
      <c r="F139" s="530"/>
    </row>
  </sheetData>
  <mergeCells count="4">
    <mergeCell ref="A1:F1"/>
    <mergeCell ref="A135:A137"/>
    <mergeCell ref="B135:B137"/>
    <mergeCell ref="A138:F139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rowBreaks count="3" manualBreakCount="3">
    <brk id="38" max="16383" man="1"/>
    <brk id="74" max="16383" man="1"/>
    <brk id="1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10</vt:i4>
      </vt:variant>
    </vt:vector>
  </HeadingPairs>
  <TitlesOfParts>
    <vt:vector size="33" baseType="lpstr">
      <vt:lpstr>ASS June2017</vt:lpstr>
      <vt:lpstr>irr. pot.</vt:lpstr>
      <vt:lpstr>Rech-Tank-II</vt:lpstr>
      <vt:lpstr>Seep-Tank-III</vt:lpstr>
      <vt:lpstr>Dom Draft IV</vt:lpstr>
      <vt:lpstr>Draft Irri-V</vt:lpstr>
      <vt:lpstr>Draft Irr.Area</vt:lpstr>
      <vt:lpstr>Draft Depl</vt:lpstr>
      <vt:lpstr>Sheet1</vt:lpstr>
      <vt:lpstr>Compar</vt:lpstr>
      <vt:lpstr>Reccomendation</vt:lpstr>
      <vt:lpstr>WaterLevel trend</vt:lpstr>
      <vt:lpstr>WaterLevel 12-16</vt:lpstr>
      <vt:lpstr>MonthlyRF n</vt:lpstr>
      <vt:lpstr>NormalRF</vt:lpstr>
      <vt:lpstr>Longterm</vt:lpstr>
      <vt:lpstr>Trend </vt:lpstr>
      <vt:lpstr>Projected25</vt:lpstr>
      <vt:lpstr>Projected Cal. </vt:lpstr>
      <vt:lpstr>Village</vt:lpstr>
      <vt:lpstr>Crop Water</vt:lpstr>
      <vt:lpstr>APP 2015-16</vt:lpstr>
      <vt:lpstr>Reported Yield </vt:lpstr>
      <vt:lpstr>'APP 2015-16'!Print_Area</vt:lpstr>
      <vt:lpstr>'ASS June2017'!Print_Area</vt:lpstr>
      <vt:lpstr>Village!Print_Area</vt:lpstr>
      <vt:lpstr>'WaterLevel 12-16'!Print_Area</vt:lpstr>
      <vt:lpstr>'APP 2015-16'!Print_Titles</vt:lpstr>
      <vt:lpstr>'ASS June2017'!Print_Titles</vt:lpstr>
      <vt:lpstr>'Dom Draft IV'!Print_Titles</vt:lpstr>
      <vt:lpstr>'Draft Irri-V'!Print_Titles</vt:lpstr>
      <vt:lpstr>'Reported Yield '!Print_Titles</vt:lpstr>
      <vt:lpstr>'WaterLevel 12-16'!Print_Titles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</dc:creator>
  <cp:lastModifiedBy>pc</cp:lastModifiedBy>
  <cp:lastPrinted>2017-09-05T07:52:21Z</cp:lastPrinted>
  <dcterms:created xsi:type="dcterms:W3CDTF">2017-08-27T08:29:40Z</dcterms:created>
  <dcterms:modified xsi:type="dcterms:W3CDTF">2026-02-03T08:58:44Z</dcterms:modified>
</cp:coreProperties>
</file>